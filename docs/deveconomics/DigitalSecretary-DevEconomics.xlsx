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vity Log" sheetId="1" state="visible" r:id="rId1"/>
    <sheet xmlns:r="http://schemas.openxmlformats.org/officeDocument/2006/relationships" name="Feature Summary" sheetId="2" state="visible" r:id="rId2"/>
    <sheet xmlns:r="http://schemas.openxmlformats.org/officeDocument/2006/relationships" name="Trend" sheetId="3" state="visible" r:id="rId3"/>
    <sheet xmlns:r="http://schemas.openxmlformats.org/officeDocument/2006/relationships" name="ReadMe" sheetId="4" state="visible" r:id="rId4"/>
  </sheets>
  <definedNames>
    <definedName name="_xlnm._FilterDatabase" localSheetId="0" hidden="1">'Activity Log'!$A$1:$K$1</definedName>
    <definedName name="_xlnm._FilterDatabase" localSheetId="1" hidden="1">'Feature Summary'!$A$1:$R$1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7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color rgb="00C00000"/>
      <sz val="10"/>
    </font>
    <font>
      <name val="Arial"/>
      <b val="1"/>
      <sz val="14"/>
    </font>
  </fonts>
  <fills count="5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2" fillId="4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vertical="top" wrapText="1"/>
    </xf>
    <xf numFmtId="0" fontId="3" fillId="2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  <xf numFmtId="2" fontId="3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1" fillId="0" borderId="0" pivotButton="0" quotePrefix="0" xfId="0"/>
    <xf numFmtId="164" fontId="1" fillId="0" borderId="0" pivotButton="0" quotePrefix="0" xfId="0"/>
    <xf numFmtId="2" fontId="1" fillId="0" borderId="0" pivotButton="0" quotePrefix="0" xfId="0"/>
    <xf numFmtId="3" fontId="3" fillId="0" borderId="1" applyAlignment="1" pivotButton="0" quotePrefix="0" xfId="0">
      <alignment vertical="top" wrapText="1"/>
    </xf>
    <xf numFmtId="0" fontId="1" fillId="0" borderId="1" applyAlignment="1" pivotButton="0" quotePrefix="0" xfId="0">
      <alignment vertical="top" wrapText="1"/>
    </xf>
    <xf numFmtId="3" fontId="1" fillId="0" borderId="1" applyAlignment="1" pivotButton="0" quotePrefix="0" xfId="0">
      <alignment vertical="top" wrapText="1"/>
    </xf>
    <xf numFmtId="164" fontId="1" fillId="0" borderId="1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vertical="top" wrapText="1"/>
    </xf>
    <xf numFmtId="0" fontId="6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scope: EST vs ACTUAL ($)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'Feature Summary'!K1</f>
            </strRef>
          </tx>
          <spPr>
            <a:ln xmlns:a="http://schemas.openxmlformats.org/drawingml/2006/main">
              <a:prstDash val="solid"/>
            </a:ln>
          </spPr>
          <cat>
            <numRef>
              <f>'Feature Summary'!$A$2:$A$3</f>
            </numRef>
          </cat>
          <val>
            <numRef>
              <f>'Feature Summary'!$K$2:$K$3</f>
            </numRef>
          </val>
        </ser>
        <ser>
          <idx val="1"/>
          <order val="1"/>
          <tx>
            <strRef>
              <f>'Feature Summary'!L1</f>
            </strRef>
          </tx>
          <spPr>
            <a:ln xmlns:a="http://schemas.openxmlformats.org/drawingml/2006/main">
              <a:prstDash val="solid"/>
            </a:ln>
          </spPr>
          <cat>
            <numRef>
              <f>'Feature Summary'!$A$2:$A$3</f>
            </numRef>
          </cat>
          <val>
            <numRef>
              <f>'Feature Summary'!$L$2:$L$3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Scope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Time per scope: EST vs ACTUAL (min)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'Feature Summary'!O1</f>
            </strRef>
          </tx>
          <spPr>
            <a:ln xmlns:a="http://schemas.openxmlformats.org/drawingml/2006/main">
              <a:prstDash val="solid"/>
            </a:ln>
          </spPr>
          <cat>
            <numRef>
              <f>'Feature Summary'!$A$2:$A$3</f>
            </numRef>
          </cat>
          <val>
            <numRef>
              <f>'Feature Summary'!$O$2:$O$3</f>
            </numRef>
          </val>
        </ser>
        <ser>
          <idx val="1"/>
          <order val="1"/>
          <tx>
            <strRef>
              <f>'Feature Summary'!P1</f>
            </strRef>
          </tx>
          <spPr>
            <a:ln xmlns:a="http://schemas.openxmlformats.org/drawingml/2006/main">
              <a:prstDash val="solid"/>
            </a:ln>
          </spPr>
          <cat>
            <numRef>
              <f>'Feature Summary'!$A$2:$A$3</f>
            </numRef>
          </cat>
          <val>
            <numRef>
              <f>'Feature Summary'!$P$2:$P$3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Scope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minutes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build_deveconomics</author>
  </authors>
  <commentList>
    <comment ref="A1" authorId="0" shapeId="0">
      <text>
        <t>AUTO-GENERATED by tools/docgen/build_deveconomics.py - do NOT edit this workbook by hand. Edit the script's data tables and run: python tools/docgen/build_deveconomics.py</t>
      </text>
    </comment>
  </commentList>
</comments>
</file>

<file path=xl/comments/comment2.xml><?xml version="1.0" encoding="utf-8"?>
<comments xmlns="http://schemas.openxmlformats.org/spreadsheetml/2006/main">
  <authors>
    <author>build_deveconomics</author>
  </authors>
  <commentList>
    <comment ref="A1" authorId="0" shapeId="0">
      <text>
        <t>AUTO-GENERATED by tools/docgen/build_deveconomics.py - do NOT edit this workbook by hand. Edit the script's data tables and run: python tools/docgen/build_deveconomics.py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6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23</row>
      <rowOff>0</rowOff>
    </from>
    <ext cx="57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12" customWidth="1" min="2" max="2"/>
    <col width="52" customWidth="1" min="3" max="3"/>
    <col width="20" customWidth="1" min="4" max="4"/>
    <col width="20" customWidth="1" min="5" max="5"/>
    <col width="6" customWidth="1" min="6" max="6"/>
    <col width="11" customWidth="1" min="7" max="7"/>
    <col width="13" customWidth="1" min="8" max="8"/>
    <col width="10" customWidth="1" min="9" max="9"/>
    <col width="11" customWidth="1" min="10" max="10"/>
    <col width="26" customWidth="1" min="11" max="11"/>
  </cols>
  <sheetData>
    <row r="1" ht="28" customHeight="1">
      <c r="A1" s="1" t="inlineStr">
        <is>
          <t>#</t>
        </is>
      </c>
      <c r="B1" s="1" t="inlineStr">
        <is>
          <t>Phase</t>
        </is>
      </c>
      <c r="C1" s="1" t="inlineStr">
        <is>
          <t>Activity</t>
        </is>
      </c>
      <c r="D1" s="1" t="inlineStr">
        <is>
          <t>Bucket</t>
        </is>
      </c>
      <c r="E1" s="1" t="inlineStr">
        <is>
          <t>Tool / Method</t>
        </is>
      </c>
      <c r="F1" s="1" t="inlineStr">
        <is>
          <t>LLM?</t>
        </is>
      </c>
      <c r="G1" s="1" t="inlineStr">
        <is>
          <t>Est. Tokens</t>
        </is>
      </c>
      <c r="H1" s="1" t="inlineStr">
        <is>
          <t>Est. Cost (USD)</t>
        </is>
      </c>
      <c r="I1" s="1" t="inlineStr">
        <is>
          <t>Time (min)</t>
        </is>
      </c>
      <c r="J1" s="1" t="inlineStr">
        <is>
          <t>Time Basis</t>
        </is>
      </c>
      <c r="K1" s="1" t="inlineStr">
        <is>
          <t>Notes</t>
        </is>
      </c>
    </row>
    <row r="2">
      <c r="A2" s="2" t="n">
        <v>1</v>
      </c>
      <c r="B2" s="2" t="inlineStr">
        <is>
          <t>Explore</t>
        </is>
      </c>
      <c r="C2" s="2" t="inlineStr">
        <is>
          <t>Read CLAUDE.md; locate solution &amp; memory</t>
        </is>
      </c>
      <c r="D2" s="3" t="inlineStr">
        <is>
          <t>A - LLM tokens</t>
        </is>
      </c>
      <c r="E2" s="2" t="inlineStr">
        <is>
          <t>Read/Glob</t>
        </is>
      </c>
      <c r="F2" s="2" t="inlineStr">
        <is>
          <t>Yes</t>
        </is>
      </c>
      <c r="G2" s="2" t="n">
        <v>4000</v>
      </c>
      <c r="H2" s="4" t="n">
        <v>0.05</v>
      </c>
      <c r="I2" s="5" t="n">
        <v>1.5</v>
      </c>
      <c r="J2" s="2" t="inlineStr">
        <is>
          <t>estimate</t>
        </is>
      </c>
      <c r="K2" s="2" t="inlineStr">
        <is>
          <t>orient</t>
        </is>
      </c>
    </row>
    <row r="3">
      <c r="A3" s="2" t="n">
        <v>2</v>
      </c>
      <c r="B3" s="2" t="inlineStr">
        <is>
          <t>Explore</t>
        </is>
      </c>
      <c r="C3" s="2" t="inlineStr">
        <is>
          <t>Study EmailDownloader (control, IMAP, settings, helpers)</t>
        </is>
      </c>
      <c r="D3" s="3" t="inlineStr">
        <is>
          <t>A - LLM tokens</t>
        </is>
      </c>
      <c r="E3" s="2" t="inlineStr">
        <is>
          <t>Read</t>
        </is>
      </c>
      <c r="F3" s="2" t="inlineStr">
        <is>
          <t>Yes</t>
        </is>
      </c>
      <c r="G3" s="2" t="n">
        <v>12000</v>
      </c>
      <c r="H3" s="4" t="n">
        <v>0.12</v>
      </c>
      <c r="I3" s="5" t="n">
        <v>3</v>
      </c>
      <c r="J3" s="2" t="inlineStr">
        <is>
          <t>estimate</t>
        </is>
      </c>
      <c r="K3" s="2" t="inlineStr">
        <is>
          <t>model to clone</t>
        </is>
      </c>
    </row>
    <row r="4">
      <c r="A4" s="2" t="n">
        <v>3</v>
      </c>
      <c r="B4" s="2" t="inlineStr">
        <is>
          <t>Explore</t>
        </is>
      </c>
      <c r="C4" s="2" t="inlineStr">
        <is>
          <t>Read contract, ADDING_A_FEATURE, Directory.Build.props</t>
        </is>
      </c>
      <c r="D4" s="3" t="inlineStr">
        <is>
          <t>A - LLM tokens</t>
        </is>
      </c>
      <c r="E4" s="2" t="inlineStr">
        <is>
          <t>Read</t>
        </is>
      </c>
      <c r="F4" s="2" t="inlineStr">
        <is>
          <t>Yes</t>
        </is>
      </c>
      <c r="G4" s="2" t="n">
        <v>6000</v>
      </c>
      <c r="H4" s="4" t="n">
        <v>0.07000000000000001</v>
      </c>
      <c r="I4" s="5" t="n">
        <v>1.5</v>
      </c>
      <c r="J4" s="2" t="inlineStr">
        <is>
          <t>estimate</t>
        </is>
      </c>
      <c r="K4" s="2" t="inlineStr"/>
    </row>
    <row r="5">
      <c r="A5" s="2" t="n">
        <v>4</v>
      </c>
      <c r="B5" s="2" t="inlineStr">
        <is>
          <t>Explore</t>
        </is>
      </c>
      <c r="C5" s="2" t="inlineStr">
        <is>
          <t>Read unit + QA tests and QA harness</t>
        </is>
      </c>
      <c r="D5" s="3" t="inlineStr">
        <is>
          <t>A - LLM tokens</t>
        </is>
      </c>
      <c r="E5" s="2" t="inlineStr">
        <is>
          <t>Read</t>
        </is>
      </c>
      <c r="F5" s="2" t="inlineStr">
        <is>
          <t>Yes</t>
        </is>
      </c>
      <c r="G5" s="2" t="n">
        <v>7000</v>
      </c>
      <c r="H5" s="4" t="n">
        <v>0.08</v>
      </c>
      <c r="I5" s="5" t="n">
        <v>1.5</v>
      </c>
      <c r="J5" s="2" t="inlineStr">
        <is>
          <t>estimate</t>
        </is>
      </c>
      <c r="K5" s="2" t="inlineStr"/>
    </row>
    <row r="6">
      <c r="A6" s="2" t="n">
        <v>5</v>
      </c>
      <c r="B6" s="2" t="inlineStr">
        <is>
          <t>Explore</t>
        </is>
      </c>
      <c r="C6" s="2" t="inlineStr">
        <is>
          <t>Read build.ps1, docgen scripts, check_docs</t>
        </is>
      </c>
      <c r="D6" s="3" t="inlineStr">
        <is>
          <t>A - LLM tokens</t>
        </is>
      </c>
      <c r="E6" s="2" t="inlineStr">
        <is>
          <t>Read</t>
        </is>
      </c>
      <c r="F6" s="2" t="inlineStr">
        <is>
          <t>Yes</t>
        </is>
      </c>
      <c r="G6" s="2" t="n">
        <v>14000</v>
      </c>
      <c r="H6" s="4" t="n">
        <v>0.14</v>
      </c>
      <c r="I6" s="5" t="n">
        <v>3</v>
      </c>
      <c r="J6" s="2" t="inlineStr">
        <is>
          <t>estimate</t>
        </is>
      </c>
      <c r="K6" s="2" t="inlineStr">
        <is>
          <t>quality gates</t>
        </is>
      </c>
    </row>
    <row r="7">
      <c r="A7" s="2" t="n">
        <v>6</v>
      </c>
      <c r="B7" s="2" t="inlineStr">
        <is>
          <t>Explore</t>
        </is>
      </c>
      <c r="C7" s="2" t="inlineStr">
        <is>
          <t>Read requirements/user-guide/journal/manual template/DocShots</t>
        </is>
      </c>
      <c r="D7" s="3" t="inlineStr">
        <is>
          <t>A - LLM tokens</t>
        </is>
      </c>
      <c r="E7" s="2" t="inlineStr">
        <is>
          <t>Read</t>
        </is>
      </c>
      <c r="F7" s="2" t="inlineStr">
        <is>
          <t>Yes</t>
        </is>
      </c>
      <c r="G7" s="2" t="n">
        <v>13000</v>
      </c>
      <c r="H7" s="4" t="n">
        <v>0.13</v>
      </c>
      <c r="I7" s="5" t="n">
        <v>3</v>
      </c>
      <c r="J7" s="2" t="inlineStr">
        <is>
          <t>estimate</t>
        </is>
      </c>
      <c r="K7" s="2" t="inlineStr">
        <is>
          <t>docs pipeline</t>
        </is>
      </c>
    </row>
    <row r="8">
      <c r="A8" s="2" t="n">
        <v>7</v>
      </c>
      <c r="B8" s="2" t="inlineStr">
        <is>
          <t>Decide</t>
        </is>
      </c>
      <c r="C8" s="2" t="inlineStr">
        <is>
          <t>Ask 3 scoping questions (IMAP vs API, OAuth, export fmt)</t>
        </is>
      </c>
      <c r="D8" s="3" t="inlineStr">
        <is>
          <t>A - LLM tokens</t>
        </is>
      </c>
      <c r="E8" s="2" t="inlineStr">
        <is>
          <t>AskUserQuestion</t>
        </is>
      </c>
      <c r="F8" s="2" t="inlineStr">
        <is>
          <t>Yes</t>
        </is>
      </c>
      <c r="G8" s="2" t="n">
        <v>2000</v>
      </c>
      <c r="H8" s="4" t="n">
        <v>0.06</v>
      </c>
      <c r="I8" s="5" t="n">
        <v>1</v>
      </c>
      <c r="J8" s="2" t="inlineStr">
        <is>
          <t>estimate</t>
        </is>
      </c>
      <c r="K8" s="2" t="inlineStr">
        <is>
          <t>blocking decisions</t>
        </is>
      </c>
    </row>
    <row r="9">
      <c r="A9" s="2" t="n">
        <v>8</v>
      </c>
      <c r="B9" s="2" t="inlineStr">
        <is>
          <t>Setup</t>
        </is>
      </c>
      <c r="C9" s="2" t="inlineStr">
        <is>
          <t>Verify toolchain (dotnet/python/nuget/git/openpyxl)</t>
        </is>
      </c>
      <c r="D9" s="6" t="inlineStr">
        <is>
          <t>B - Local ($0)</t>
        </is>
      </c>
      <c r="E9" s="2" t="inlineStr">
        <is>
          <t>PowerShell</t>
        </is>
      </c>
      <c r="F9" s="2" t="inlineStr">
        <is>
          <t>No</t>
        </is>
      </c>
      <c r="G9" s="2" t="n"/>
      <c r="H9" s="4" t="n">
        <v>0</v>
      </c>
      <c r="I9" s="5" t="n">
        <v>0.2</v>
      </c>
      <c r="J9" s="2" t="inlineStr">
        <is>
          <t>measured</t>
        </is>
      </c>
      <c r="K9" s="2" t="inlineStr"/>
    </row>
    <row r="10">
      <c r="A10" s="2" t="n">
        <v>9</v>
      </c>
      <c r="B10" s="2" t="inlineStr">
        <is>
          <t>Build Gmail</t>
        </is>
      </c>
      <c r="C10" s="2" t="inlineStr">
        <is>
          <t>Author 9 Gmail files (module, control, IMAP, naming, scanner, settings, manifest, FEATURE)</t>
        </is>
      </c>
      <c r="D10" s="3" t="inlineStr">
        <is>
          <t>A - LLM tokens</t>
        </is>
      </c>
      <c r="E10" s="2" t="inlineStr">
        <is>
          <t>Write</t>
        </is>
      </c>
      <c r="F10" s="2" t="inlineStr">
        <is>
          <t>Yes</t>
        </is>
      </c>
      <c r="G10" s="2" t="n">
        <v>14000</v>
      </c>
      <c r="H10" s="4" t="n">
        <v>0.45</v>
      </c>
      <c r="I10" s="5" t="n">
        <v>6</v>
      </c>
      <c r="J10" s="2" t="inlineStr">
        <is>
          <t>estimate</t>
        </is>
      </c>
      <c r="K10" s="2" t="inlineStr">
        <is>
          <t>521 LOC</t>
        </is>
      </c>
    </row>
    <row r="11">
      <c r="A11" s="2" t="n">
        <v>10</v>
      </c>
      <c r="B11" s="2" t="inlineStr">
        <is>
          <t>Build Gmail</t>
        </is>
      </c>
      <c r="C11" s="2" t="inlineStr">
        <is>
          <t>Add project to solution + unit-test reference</t>
        </is>
      </c>
      <c r="D11" s="6" t="inlineStr">
        <is>
          <t>B - Local ($0)</t>
        </is>
      </c>
      <c r="E11" s="2" t="inlineStr">
        <is>
          <t>dotnet sln/add</t>
        </is>
      </c>
      <c r="F11" s="2" t="inlineStr">
        <is>
          <t>No</t>
        </is>
      </c>
      <c r="G11" s="2" t="n"/>
      <c r="H11" s="4" t="n">
        <v>0</v>
      </c>
      <c r="I11" s="5" t="n">
        <v>0.2</v>
      </c>
      <c r="J11" s="2" t="inlineStr">
        <is>
          <t>measured</t>
        </is>
      </c>
      <c r="K11" s="2" t="inlineStr"/>
    </row>
    <row r="12">
      <c r="A12" s="2" t="n">
        <v>11</v>
      </c>
      <c r="B12" s="2" t="inlineStr">
        <is>
          <t>Build Gmail</t>
        </is>
      </c>
      <c r="C12" s="2" t="inlineStr">
        <is>
          <t>Compile Gmail feature (0 warnings)</t>
        </is>
      </c>
      <c r="D12" s="6" t="inlineStr">
        <is>
          <t>B - Local ($0)</t>
        </is>
      </c>
      <c r="E12" s="2" t="inlineStr">
        <is>
          <t>dotnet build</t>
        </is>
      </c>
      <c r="F12" s="2" t="inlineStr">
        <is>
          <t>No</t>
        </is>
      </c>
      <c r="G12" s="2" t="n"/>
      <c r="H12" s="4" t="n">
        <v>0</v>
      </c>
      <c r="I12" s="5" t="n">
        <v>0.14</v>
      </c>
      <c r="J12" s="2" t="inlineStr">
        <is>
          <t>measured</t>
        </is>
      </c>
      <c r="K12" s="2" t="inlineStr">
        <is>
          <t>8.4s</t>
        </is>
      </c>
    </row>
    <row r="13">
      <c r="A13" s="2" t="n">
        <v>12</v>
      </c>
      <c r="B13" s="2" t="inlineStr">
        <is>
          <t>Build Drive</t>
        </is>
      </c>
      <c r="C13" s="2" t="inlineStr">
        <is>
          <t>Author pure logic (export formats, file naming, settings)</t>
        </is>
      </c>
      <c r="D13" s="3" t="inlineStr">
        <is>
          <t>A - LLM tokens</t>
        </is>
      </c>
      <c r="E13" s="2" t="inlineStr">
        <is>
          <t>Write</t>
        </is>
      </c>
      <c r="F13" s="2" t="inlineStr">
        <is>
          <t>Yes</t>
        </is>
      </c>
      <c r="G13" s="2" t="n">
        <v>6000</v>
      </c>
      <c r="H13" s="4" t="n">
        <v>0.18</v>
      </c>
      <c r="I13" s="5" t="n">
        <v>3</v>
      </c>
      <c r="J13" s="2" t="inlineStr">
        <is>
          <t>estimate</t>
        </is>
      </c>
      <c r="K13" s="2" t="inlineStr">
        <is>
          <t>testable, no Google dep</t>
        </is>
      </c>
    </row>
    <row r="14">
      <c r="A14" s="2" t="n">
        <v>13</v>
      </c>
      <c r="B14" s="2" t="inlineStr">
        <is>
          <t>Build Drive</t>
        </is>
      </c>
      <c r="C14" s="2" t="inlineStr">
        <is>
          <t>Author csproj / manifest / module</t>
        </is>
      </c>
      <c r="D14" s="3" t="inlineStr">
        <is>
          <t>A - LLM tokens</t>
        </is>
      </c>
      <c r="E14" s="2" t="inlineStr">
        <is>
          <t>Write</t>
        </is>
      </c>
      <c r="F14" s="2" t="inlineStr">
        <is>
          <t>Yes</t>
        </is>
      </c>
      <c r="G14" s="2" t="n">
        <v>2000</v>
      </c>
      <c r="H14" s="4" t="n">
        <v>0.06</v>
      </c>
      <c r="I14" s="5" t="n">
        <v>1</v>
      </c>
      <c r="J14" s="2" t="inlineStr">
        <is>
          <t>estimate</t>
        </is>
      </c>
      <c r="K14" s="2" t="inlineStr"/>
    </row>
    <row r="15">
      <c r="A15" s="2" t="n">
        <v>14</v>
      </c>
      <c r="B15" s="2" t="inlineStr">
        <is>
          <t>Build Drive</t>
        </is>
      </c>
      <c r="C15" s="2" t="inlineStr">
        <is>
          <t>Add Google.Apis.Drive.v3 + restore</t>
        </is>
      </c>
      <c r="D15" s="6" t="inlineStr">
        <is>
          <t>B+C - Local+net ($0)</t>
        </is>
      </c>
      <c r="E15" s="2" t="inlineStr">
        <is>
          <t>dotnet add package</t>
        </is>
      </c>
      <c r="F15" s="2" t="inlineStr">
        <is>
          <t>No</t>
        </is>
      </c>
      <c r="G15" s="2" t="n"/>
      <c r="H15" s="4" t="n">
        <v>0</v>
      </c>
      <c r="I15" s="5" t="n">
        <v>0.1</v>
      </c>
      <c r="J15" s="2" t="inlineStr">
        <is>
          <t>measured</t>
        </is>
      </c>
      <c r="K15" s="2" t="inlineStr">
        <is>
          <t>NuGet download 5.9s</t>
        </is>
      </c>
    </row>
    <row r="16">
      <c r="A16" s="2" t="n">
        <v>15</v>
      </c>
      <c r="B16" s="2" t="inlineStr">
        <is>
          <t>Build Drive</t>
        </is>
      </c>
      <c r="C16" s="2" t="inlineStr">
        <is>
          <t>Author OAuth + Drive API downloader + control + FEATURE</t>
        </is>
      </c>
      <c r="D16" s="3" t="inlineStr">
        <is>
          <t>A - LLM tokens</t>
        </is>
      </c>
      <c r="E16" s="2" t="inlineStr">
        <is>
          <t>Write</t>
        </is>
      </c>
      <c r="F16" s="2" t="inlineStr">
        <is>
          <t>Yes</t>
        </is>
      </c>
      <c r="G16" s="2" t="n">
        <v>9000</v>
      </c>
      <c r="H16" s="4" t="n">
        <v>0.4</v>
      </c>
      <c r="I16" s="5" t="n">
        <v>4</v>
      </c>
      <c r="J16" s="2" t="inlineStr">
        <is>
          <t>estimate</t>
        </is>
      </c>
      <c r="K16" s="2" t="inlineStr">
        <is>
          <t>512 LOC</t>
        </is>
      </c>
    </row>
    <row r="17">
      <c r="A17" s="2" t="n">
        <v>16</v>
      </c>
      <c r="B17" s="2" t="inlineStr">
        <is>
          <t>Build Drive</t>
        </is>
      </c>
      <c r="C17" s="2" t="inlineStr">
        <is>
          <t>Simplify download helper</t>
        </is>
      </c>
      <c r="D17" s="3" t="inlineStr">
        <is>
          <t>A - LLM tokens</t>
        </is>
      </c>
      <c r="E17" s="2" t="inlineStr">
        <is>
          <t>Edit</t>
        </is>
      </c>
      <c r="F17" s="2" t="inlineStr">
        <is>
          <t>Yes</t>
        </is>
      </c>
      <c r="G17" s="2" t="n">
        <v>1500</v>
      </c>
      <c r="H17" s="4" t="n">
        <v>0.04</v>
      </c>
      <c r="I17" s="5" t="n">
        <v>0.5</v>
      </c>
      <c r="J17" s="2" t="inlineStr">
        <is>
          <t>estimate</t>
        </is>
      </c>
      <c r="K17" s="2" t="inlineStr"/>
    </row>
    <row r="18">
      <c r="A18" s="2" t="n">
        <v>17</v>
      </c>
      <c r="B18" s="2" t="inlineStr">
        <is>
          <t>Build Drive</t>
        </is>
      </c>
      <c r="C18" s="2" t="inlineStr">
        <is>
          <t>Add to solution + unit-test reference</t>
        </is>
      </c>
      <c r="D18" s="6" t="inlineStr">
        <is>
          <t>B - Local ($0)</t>
        </is>
      </c>
      <c r="E18" s="2" t="inlineStr">
        <is>
          <t>dotnet sln/add</t>
        </is>
      </c>
      <c r="F18" s="2" t="inlineStr">
        <is>
          <t>No</t>
        </is>
      </c>
      <c r="G18" s="2" t="n"/>
      <c r="H18" s="4" t="n">
        <v>0</v>
      </c>
      <c r="I18" s="5" t="n">
        <v>0.2</v>
      </c>
      <c r="J18" s="2" t="inlineStr">
        <is>
          <t>measured</t>
        </is>
      </c>
      <c r="K18" s="2" t="inlineStr"/>
    </row>
    <row r="19">
      <c r="A19" s="2" t="n">
        <v>18</v>
      </c>
      <c r="B19" s="2" t="inlineStr">
        <is>
          <t>Build Drive</t>
        </is>
      </c>
      <c r="C19" s="2" t="inlineStr">
        <is>
          <t>Compile Drive (2 analyzer warnings)</t>
        </is>
      </c>
      <c r="D19" s="6" t="inlineStr">
        <is>
          <t>B - Local ($0)</t>
        </is>
      </c>
      <c r="E19" s="2" t="inlineStr">
        <is>
          <t>dotnet build</t>
        </is>
      </c>
      <c r="F19" s="2" t="inlineStr">
        <is>
          <t>No</t>
        </is>
      </c>
      <c r="G19" s="2" t="n"/>
      <c r="H19" s="4" t="n">
        <v>0</v>
      </c>
      <c r="I19" s="5" t="n">
        <v>0.1</v>
      </c>
      <c r="J19" s="2" t="inlineStr">
        <is>
          <t>measured</t>
        </is>
      </c>
      <c r="K19" s="2" t="inlineStr">
        <is>
          <t>6.3s</t>
        </is>
      </c>
    </row>
    <row r="20">
      <c r="A20" s="2" t="n">
        <v>19</v>
      </c>
      <c r="B20" s="2" t="inlineStr">
        <is>
          <t>Build Drive</t>
        </is>
      </c>
      <c r="C20" s="2" t="inlineStr">
        <is>
          <t>Fix CA1859 + CA2016 warnings</t>
        </is>
      </c>
      <c r="D20" s="3" t="inlineStr">
        <is>
          <t>A - LLM tokens</t>
        </is>
      </c>
      <c r="E20" s="2" t="inlineStr">
        <is>
          <t>Edit</t>
        </is>
      </c>
      <c r="F20" s="2" t="inlineStr">
        <is>
          <t>Yes</t>
        </is>
      </c>
      <c r="G20" s="2" t="n">
        <v>1500</v>
      </c>
      <c r="H20" s="4" t="n">
        <v>0.04</v>
      </c>
      <c r="I20" s="5" t="n">
        <v>0.5</v>
      </c>
      <c r="J20" s="2" t="inlineStr">
        <is>
          <t>estimate</t>
        </is>
      </c>
      <c r="K20" s="2" t="inlineStr"/>
    </row>
    <row r="21">
      <c r="A21" s="2" t="n">
        <v>20</v>
      </c>
      <c r="B21" s="2" t="inlineStr">
        <is>
          <t>Build Drive</t>
        </is>
      </c>
      <c r="C21" s="2" t="inlineStr">
        <is>
          <t>Recompile Drive (0 warnings)</t>
        </is>
      </c>
      <c r="D21" s="6" t="inlineStr">
        <is>
          <t>B - Local ($0)</t>
        </is>
      </c>
      <c r="E21" s="2" t="inlineStr">
        <is>
          <t>dotnet build</t>
        </is>
      </c>
      <c r="F21" s="2" t="inlineStr">
        <is>
          <t>No</t>
        </is>
      </c>
      <c r="G21" s="2" t="n"/>
      <c r="H21" s="4" t="n">
        <v>0</v>
      </c>
      <c r="I21" s="5" t="n">
        <v>0.04</v>
      </c>
      <c r="J21" s="2" t="inlineStr">
        <is>
          <t>measured</t>
        </is>
      </c>
      <c r="K21" s="2" t="inlineStr">
        <is>
          <t>2.5s</t>
        </is>
      </c>
    </row>
    <row r="22">
      <c r="A22" s="2" t="n">
        <v>21</v>
      </c>
      <c r="B22" s="2" t="inlineStr">
        <is>
          <t>Tests</t>
        </is>
      </c>
      <c r="C22" s="2" t="inlineStr">
        <is>
          <t>Author 4 unit-test files (Gmail + Drive logic)</t>
        </is>
      </c>
      <c r="D22" s="3" t="inlineStr">
        <is>
          <t>A - LLM tokens</t>
        </is>
      </c>
      <c r="E22" s="2" t="inlineStr">
        <is>
          <t>Write</t>
        </is>
      </c>
      <c r="F22" s="2" t="inlineStr">
        <is>
          <t>Yes</t>
        </is>
      </c>
      <c r="G22" s="2" t="n">
        <v>6000</v>
      </c>
      <c r="H22" s="4" t="n">
        <v>0.2</v>
      </c>
      <c r="I22" s="5" t="n">
        <v>3</v>
      </c>
      <c r="J22" s="2" t="inlineStr">
        <is>
          <t>estimate</t>
        </is>
      </c>
      <c r="K22" s="2" t="inlineStr">
        <is>
          <t>233 LOC</t>
        </is>
      </c>
    </row>
    <row r="23">
      <c r="A23" s="2" t="n">
        <v>22</v>
      </c>
      <c r="B23" s="2" t="inlineStr">
        <is>
          <t>Tests</t>
        </is>
      </c>
      <c r="C23" s="2" t="inlineStr">
        <is>
          <t>Add settings round-trips + QA private-dependency tests</t>
        </is>
      </c>
      <c r="D23" s="3" t="inlineStr">
        <is>
          <t>A - LLM tokens</t>
        </is>
      </c>
      <c r="E23" s="2" t="inlineStr">
        <is>
          <t>Edit</t>
        </is>
      </c>
      <c r="F23" s="2" t="inlineStr">
        <is>
          <t>Yes</t>
        </is>
      </c>
      <c r="G23" s="2" t="n">
        <v>3000</v>
      </c>
      <c r="H23" s="4" t="n">
        <v>0.1</v>
      </c>
      <c r="I23" s="5" t="n">
        <v>1.5</v>
      </c>
      <c r="J23" s="2" t="inlineStr">
        <is>
          <t>estimate</t>
        </is>
      </c>
      <c r="K23" s="2" t="inlineStr"/>
    </row>
    <row r="24">
      <c r="A24" s="2" t="n">
        <v>23</v>
      </c>
      <c r="B24" s="2" t="inlineStr">
        <is>
          <t>Tests</t>
        </is>
      </c>
      <c r="C24" s="2" t="inlineStr">
        <is>
          <t>Build full solution</t>
        </is>
      </c>
      <c r="D24" s="6" t="inlineStr">
        <is>
          <t>B - Local ($0)</t>
        </is>
      </c>
      <c r="E24" s="2" t="inlineStr">
        <is>
          <t>dotnet build</t>
        </is>
      </c>
      <c r="F24" s="2" t="inlineStr">
        <is>
          <t>No</t>
        </is>
      </c>
      <c r="G24" s="2" t="n"/>
      <c r="H24" s="4" t="n">
        <v>0</v>
      </c>
      <c r="I24" s="5" t="n">
        <v>0.21</v>
      </c>
      <c r="J24" s="2" t="inlineStr">
        <is>
          <t>measured</t>
        </is>
      </c>
      <c r="K24" s="2" t="inlineStr">
        <is>
          <t>12.5s, 0 warn</t>
        </is>
      </c>
    </row>
    <row r="25">
      <c r="A25" s="2" t="n">
        <v>24</v>
      </c>
      <c r="B25" s="2" t="inlineStr">
        <is>
          <t>Tests</t>
        </is>
      </c>
      <c r="C25" s="2" t="inlineStr">
        <is>
          <t>Run unit tests</t>
        </is>
      </c>
      <c r="D25" s="6" t="inlineStr">
        <is>
          <t>B - Local ($0)</t>
        </is>
      </c>
      <c r="E25" s="2" t="inlineStr">
        <is>
          <t>dotnet test</t>
        </is>
      </c>
      <c r="F25" s="2" t="inlineStr">
        <is>
          <t>No</t>
        </is>
      </c>
      <c r="G25" s="2" t="n"/>
      <c r="H25" s="4" t="n">
        <v>0</v>
      </c>
      <c r="I25" s="5" t="n">
        <v>0.07000000000000001</v>
      </c>
      <c r="J25" s="2" t="inlineStr">
        <is>
          <t>measured</t>
        </is>
      </c>
      <c r="K25" s="2" t="inlineStr">
        <is>
          <t>85 pass, 4s</t>
        </is>
      </c>
    </row>
    <row r="26">
      <c r="A26" s="2" t="n">
        <v>25</v>
      </c>
      <c r="B26" s="2" t="inlineStr">
        <is>
          <t>Tests</t>
        </is>
      </c>
      <c r="C26" s="2" t="inlineStr">
        <is>
          <t>Run QA automation</t>
        </is>
      </c>
      <c r="D26" s="6" t="inlineStr">
        <is>
          <t>B - Local ($0)</t>
        </is>
      </c>
      <c r="E26" s="2" t="inlineStr">
        <is>
          <t>dotnet test</t>
        </is>
      </c>
      <c r="F26" s="2" t="inlineStr">
        <is>
          <t>No</t>
        </is>
      </c>
      <c r="G26" s="2" t="n"/>
      <c r="H26" s="4" t="n">
        <v>0</v>
      </c>
      <c r="I26" s="5" t="n">
        <v>0.02</v>
      </c>
      <c r="J26" s="2" t="inlineStr">
        <is>
          <t>measured</t>
        </is>
      </c>
      <c r="K26" s="2" t="inlineStr">
        <is>
          <t>17 pass, 1s</t>
        </is>
      </c>
    </row>
    <row r="27">
      <c r="A27" s="2" t="n">
        <v>26</v>
      </c>
      <c r="B27" s="2" t="inlineStr">
        <is>
          <t>Docs</t>
        </is>
      </c>
      <c r="C27" s="2" t="inlineStr">
        <is>
          <t>Author requirement + user-guide docs (4)</t>
        </is>
      </c>
      <c r="D27" s="3" t="inlineStr">
        <is>
          <t>A - LLM tokens</t>
        </is>
      </c>
      <c r="E27" s="2" t="inlineStr">
        <is>
          <t>Write</t>
        </is>
      </c>
      <c r="F27" s="2" t="inlineStr">
        <is>
          <t>Yes</t>
        </is>
      </c>
      <c r="G27" s="2" t="n">
        <v>6000</v>
      </c>
      <c r="H27" s="4" t="n">
        <v>0.2</v>
      </c>
      <c r="I27" s="5" t="n">
        <v>3</v>
      </c>
      <c r="J27" s="2" t="inlineStr">
        <is>
          <t>estimate</t>
        </is>
      </c>
      <c r="K27" s="2" t="inlineStr"/>
    </row>
    <row r="28">
      <c r="A28" s="2" t="n">
        <v>27</v>
      </c>
      <c r="B28" s="2" t="inlineStr">
        <is>
          <t>Docs</t>
        </is>
      </c>
      <c r="C28" s="2" t="inlineStr">
        <is>
          <t>Update REQUIREMENTS / USER_GUIDE indexes</t>
        </is>
      </c>
      <c r="D28" s="3" t="inlineStr">
        <is>
          <t>A - LLM tokens</t>
        </is>
      </c>
      <c r="E28" s="2" t="inlineStr">
        <is>
          <t>Edit</t>
        </is>
      </c>
      <c r="F28" s="2" t="inlineStr">
        <is>
          <t>Yes</t>
        </is>
      </c>
      <c r="G28" s="2" t="n">
        <v>1500</v>
      </c>
      <c r="H28" s="4" t="n">
        <v>0.05</v>
      </c>
      <c r="I28" s="5" t="n">
        <v>1</v>
      </c>
      <c r="J28" s="2" t="inlineStr">
        <is>
          <t>estimate</t>
        </is>
      </c>
      <c r="K28" s="2" t="inlineStr"/>
    </row>
    <row r="29">
      <c r="A29" s="2" t="n">
        <v>28</v>
      </c>
      <c r="B29" s="2" t="inlineStr">
        <is>
          <t>Docgen</t>
        </is>
      </c>
      <c r="C29" s="2" t="inlineStr">
        <is>
          <t>Edit build_excel_docs.py + check_docs.py (GML/GDR rows + ID regex)</t>
        </is>
      </c>
      <c r="D29" s="3" t="inlineStr">
        <is>
          <t>A - LLM tokens</t>
        </is>
      </c>
      <c r="E29" s="2" t="inlineStr">
        <is>
          <t>Edit</t>
        </is>
      </c>
      <c r="F29" s="2" t="inlineStr">
        <is>
          <t>Yes</t>
        </is>
      </c>
      <c r="G29" s="2" t="n">
        <v>5000</v>
      </c>
      <c r="H29" s="4" t="n">
        <v>0.14</v>
      </c>
      <c r="I29" s="5" t="n">
        <v>2.5</v>
      </c>
      <c r="J29" s="2" t="inlineStr">
        <is>
          <t>estimate</t>
        </is>
      </c>
      <c r="K29" s="2" t="inlineStr"/>
    </row>
    <row r="30">
      <c r="A30" s="2" t="n">
        <v>29</v>
      </c>
      <c r="B30" s="2" t="inlineStr">
        <is>
          <t>Docgen</t>
        </is>
      </c>
      <c r="C30" s="2" t="inlineStr">
        <is>
          <t>Regenerate requirements + traceability xlsx</t>
        </is>
      </c>
      <c r="D30" s="6" t="inlineStr">
        <is>
          <t>B - Local ($0)</t>
        </is>
      </c>
      <c r="E30" s="2" t="inlineStr">
        <is>
          <t>python</t>
        </is>
      </c>
      <c r="F30" s="2" t="inlineStr">
        <is>
          <t>No</t>
        </is>
      </c>
      <c r="G30" s="2" t="n"/>
      <c r="H30" s="4" t="n">
        <v>0</v>
      </c>
      <c r="I30" s="5" t="n">
        <v>0.05</v>
      </c>
      <c r="J30" s="2" t="inlineStr">
        <is>
          <t>measured</t>
        </is>
      </c>
      <c r="K30" s="2" t="inlineStr">
        <is>
          <t>56 req, 37 trace</t>
        </is>
      </c>
    </row>
    <row r="31">
      <c r="A31" s="2" t="n">
        <v>30</v>
      </c>
      <c r="B31" s="2" t="inlineStr">
        <is>
          <t>Docgen</t>
        </is>
      </c>
      <c r="C31" s="2" t="inlineStr">
        <is>
          <t>Run docs consistency checker</t>
        </is>
      </c>
      <c r="D31" s="6" t="inlineStr">
        <is>
          <t>B - Local ($0)</t>
        </is>
      </c>
      <c r="E31" s="2" t="inlineStr">
        <is>
          <t>python check_docs</t>
        </is>
      </c>
      <c r="F31" s="2" t="inlineStr">
        <is>
          <t>No</t>
        </is>
      </c>
      <c r="G31" s="2" t="n"/>
      <c r="H31" s="4" t="n">
        <v>0</v>
      </c>
      <c r="I31" s="5" t="n">
        <v>0.05</v>
      </c>
      <c r="J31" s="2" t="inlineStr">
        <is>
          <t>measured</t>
        </is>
      </c>
      <c r="K31" s="2" t="inlineStr">
        <is>
          <t>caught 24 expected</t>
        </is>
      </c>
    </row>
    <row r="32">
      <c r="A32" s="2" t="n">
        <v>31</v>
      </c>
      <c r="B32" s="2" t="inlineStr">
        <is>
          <t>Manual</t>
        </is>
      </c>
      <c r="C32" s="2" t="inlineStr">
        <is>
          <t>Edit manual template (TOC + 2 sections) + DocShots seed</t>
        </is>
      </c>
      <c r="D32" s="3" t="inlineStr">
        <is>
          <t>A - LLM tokens</t>
        </is>
      </c>
      <c r="E32" s="2" t="inlineStr">
        <is>
          <t>Edit</t>
        </is>
      </c>
      <c r="F32" s="2" t="inlineStr">
        <is>
          <t>Yes</t>
        </is>
      </c>
      <c r="G32" s="2" t="n">
        <v>4000</v>
      </c>
      <c r="H32" s="4" t="n">
        <v>0.12</v>
      </c>
      <c r="I32" s="5" t="n">
        <v>2.5</v>
      </c>
      <c r="J32" s="2" t="inlineStr">
        <is>
          <t>estimate</t>
        </is>
      </c>
      <c r="K32" s="2" t="inlineStr"/>
    </row>
    <row r="33">
      <c r="A33" s="2" t="n">
        <v>32</v>
      </c>
      <c r="B33" s="2" t="inlineStr">
        <is>
          <t>Manual</t>
        </is>
      </c>
      <c r="C33" s="2" t="inlineStr">
        <is>
          <t>Generate screenshots</t>
        </is>
      </c>
      <c r="D33" s="6" t="inlineStr">
        <is>
          <t>B - Local ($0)</t>
        </is>
      </c>
      <c r="E33" s="2" t="inlineStr">
        <is>
          <t>dotnet run DocShots</t>
        </is>
      </c>
      <c r="F33" s="2" t="inlineStr">
        <is>
          <t>No</t>
        </is>
      </c>
      <c r="G33" s="2" t="n"/>
      <c r="H33" s="4" t="n">
        <v>0</v>
      </c>
      <c r="I33" s="5" t="n">
        <v>0.25</v>
      </c>
      <c r="J33" s="2" t="inlineStr">
        <is>
          <t>measured</t>
        </is>
      </c>
      <c r="K33" s="2" t="inlineStr">
        <is>
          <t>8 PNGs</t>
        </is>
      </c>
    </row>
    <row r="34">
      <c r="A34" s="2" t="n">
        <v>33</v>
      </c>
      <c r="B34" s="2" t="inlineStr">
        <is>
          <t>Manual</t>
        </is>
      </c>
      <c r="C34" s="2" t="inlineStr">
        <is>
          <t>Build single-file HTML manual</t>
        </is>
      </c>
      <c r="D34" s="6" t="inlineStr">
        <is>
          <t>B - Local ($0)</t>
        </is>
      </c>
      <c r="E34" s="2" t="inlineStr">
        <is>
          <t>build-user-manual.ps1</t>
        </is>
      </c>
      <c r="F34" s="2" t="inlineStr">
        <is>
          <t>No</t>
        </is>
      </c>
      <c r="G34" s="2" t="n"/>
      <c r="H34" s="4" t="n">
        <v>0</v>
      </c>
      <c r="I34" s="5" t="n">
        <v>0.03</v>
      </c>
      <c r="J34" s="2" t="inlineStr">
        <is>
          <t>measured</t>
        </is>
      </c>
      <c r="K34" s="2" t="inlineStr">
        <is>
          <t>192KB, clean</t>
        </is>
      </c>
    </row>
    <row r="35">
      <c r="A35" s="2" t="n">
        <v>34</v>
      </c>
      <c r="B35" s="2" t="inlineStr">
        <is>
          <t>Manual</t>
        </is>
      </c>
      <c r="C35" s="2" t="inlineStr">
        <is>
          <t>Re-run consistency checker</t>
        </is>
      </c>
      <c r="D35" s="6" t="inlineStr">
        <is>
          <t>B - Local ($0)</t>
        </is>
      </c>
      <c r="E35" s="2" t="inlineStr">
        <is>
          <t>python check_docs</t>
        </is>
      </c>
      <c r="F35" s="2" t="inlineStr">
        <is>
          <t>No</t>
        </is>
      </c>
      <c r="G35" s="2" t="n"/>
      <c r="H35" s="4" t="n">
        <v>0</v>
      </c>
      <c r="I35" s="5" t="n">
        <v>0.05</v>
      </c>
      <c r="J35" s="2" t="inlineStr">
        <is>
          <t>measured</t>
        </is>
      </c>
      <c r="K35" s="2" t="inlineStr">
        <is>
          <t>0 errors</t>
        </is>
      </c>
    </row>
    <row r="36">
      <c r="A36" s="2" t="n">
        <v>35</v>
      </c>
      <c r="B36" s="2" t="inlineStr">
        <is>
          <t>Gate</t>
        </is>
      </c>
      <c r="C36" s="2" t="inlineStr">
        <is>
          <t>Append DEVELOPMENT_JOURNAL phase</t>
        </is>
      </c>
      <c r="D36" s="3" t="inlineStr">
        <is>
          <t>A - LLM tokens</t>
        </is>
      </c>
      <c r="E36" s="2" t="inlineStr">
        <is>
          <t>Edit</t>
        </is>
      </c>
      <c r="F36" s="2" t="inlineStr">
        <is>
          <t>Yes</t>
        </is>
      </c>
      <c r="G36" s="2" t="n">
        <v>2000</v>
      </c>
      <c r="H36" s="4" t="n">
        <v>0.06</v>
      </c>
      <c r="I36" s="5" t="n">
        <v>1</v>
      </c>
      <c r="J36" s="2" t="inlineStr">
        <is>
          <t>estimate</t>
        </is>
      </c>
      <c r="K36" s="2" t="inlineStr"/>
    </row>
    <row r="37">
      <c r="A37" s="2" t="n">
        <v>36</v>
      </c>
      <c r="B37" s="2" t="inlineStr">
        <is>
          <t>Gate</t>
        </is>
      </c>
      <c r="C37" s="2" t="inlineStr">
        <is>
          <t>Full quality gate</t>
        </is>
      </c>
      <c r="D37" s="6" t="inlineStr">
        <is>
          <t>B - Local ($0)</t>
        </is>
      </c>
      <c r="E37" s="2" t="inlineStr">
        <is>
          <t>build.ps1 -All</t>
        </is>
      </c>
      <c r="F37" s="2" t="inlineStr">
        <is>
          <t>No</t>
        </is>
      </c>
      <c r="G37" s="2" t="n"/>
      <c r="H37" s="4" t="n">
        <v>0</v>
      </c>
      <c r="I37" s="5" t="n">
        <v>0.7</v>
      </c>
      <c r="J37" s="2" t="inlineStr">
        <is>
          <t>measured</t>
        </is>
      </c>
      <c r="K37" s="2" t="inlineStr">
        <is>
          <t>PASS, 72.9% cov</t>
        </is>
      </c>
    </row>
    <row r="38">
      <c r="A38" s="2" t="n">
        <v>37</v>
      </c>
      <c r="B38" s="2" t="inlineStr">
        <is>
          <t>Gate</t>
        </is>
      </c>
      <c r="C38" s="2" t="inlineStr">
        <is>
          <t>Fix coverage.runsettings exclusions</t>
        </is>
      </c>
      <c r="D38" s="3" t="inlineStr">
        <is>
          <t>A - LLM tokens</t>
        </is>
      </c>
      <c r="E38" s="2" t="inlineStr">
        <is>
          <t>Edit</t>
        </is>
      </c>
      <c r="F38" s="2" t="inlineStr">
        <is>
          <t>Yes</t>
        </is>
      </c>
      <c r="G38" s="2" t="n">
        <v>1500</v>
      </c>
      <c r="H38" s="4" t="n">
        <v>0.04</v>
      </c>
      <c r="I38" s="5" t="n">
        <v>0.5</v>
      </c>
      <c r="J38" s="2" t="inlineStr">
        <is>
          <t>estimate</t>
        </is>
      </c>
      <c r="K38" s="2" t="inlineStr">
        <is>
          <t>exclude network classes</t>
        </is>
      </c>
    </row>
    <row r="39">
      <c r="A39" s="2" t="n">
        <v>38</v>
      </c>
      <c r="B39" s="2" t="inlineStr">
        <is>
          <t>Gate</t>
        </is>
      </c>
      <c r="C39" s="2" t="inlineStr">
        <is>
          <t>Re-run gate with -MinCoverage 80</t>
        </is>
      </c>
      <c r="D39" s="6" t="inlineStr">
        <is>
          <t>B - Local ($0)</t>
        </is>
      </c>
      <c r="E39" s="2" t="inlineStr">
        <is>
          <t>build.ps1 -All</t>
        </is>
      </c>
      <c r="F39" s="2" t="inlineStr">
        <is>
          <t>No</t>
        </is>
      </c>
      <c r="G39" s="2" t="n"/>
      <c r="H39" s="4" t="n">
        <v>0</v>
      </c>
      <c r="I39" s="5" t="n">
        <v>0.7</v>
      </c>
      <c r="J39" s="2" t="inlineStr">
        <is>
          <t>measured</t>
        </is>
      </c>
      <c r="K39" s="2" t="inlineStr">
        <is>
          <t>PASS, 89.9%</t>
        </is>
      </c>
    </row>
    <row r="40">
      <c r="A40" s="2" t="n">
        <v>39</v>
      </c>
      <c r="B40" s="2" t="inlineStr">
        <is>
          <t>Review</t>
        </is>
      </c>
      <c r="C40" s="2" t="inlineStr">
        <is>
          <t>Cleanliness scan (mojibake) + git status</t>
        </is>
      </c>
      <c r="D40" s="6" t="inlineStr">
        <is>
          <t>B - Local ($0)</t>
        </is>
      </c>
      <c r="E40" s="2" t="inlineStr">
        <is>
          <t>Grep/git</t>
        </is>
      </c>
      <c r="F40" s="2" t="inlineStr">
        <is>
          <t>No</t>
        </is>
      </c>
      <c r="G40" s="2" t="n"/>
      <c r="H40" s="4" t="n">
        <v>0</v>
      </c>
      <c r="I40" s="5" t="n">
        <v>0.1</v>
      </c>
      <c r="J40" s="2" t="inlineStr">
        <is>
          <t>measured</t>
        </is>
      </c>
      <c r="K40" s="2" t="inlineStr">
        <is>
          <t>0 mojibake</t>
        </is>
      </c>
    </row>
    <row r="41">
      <c r="A41" s="2" t="n">
        <v>40</v>
      </c>
      <c r="B41" s="2" t="inlineStr">
        <is>
          <t>Commit</t>
        </is>
      </c>
      <c r="C41" s="2" t="inlineStr">
        <is>
          <t>Commit + pre-commit gate</t>
        </is>
      </c>
      <c r="D41" s="6" t="inlineStr">
        <is>
          <t>B - Local ($0)</t>
        </is>
      </c>
      <c r="E41" s="2" t="inlineStr">
        <is>
          <t>git commit</t>
        </is>
      </c>
      <c r="F41" s="2" t="inlineStr">
        <is>
          <t>No</t>
        </is>
      </c>
      <c r="G41" s="2" t="n"/>
      <c r="H41" s="4" t="n">
        <v>0</v>
      </c>
      <c r="I41" s="5" t="n">
        <v>0.3</v>
      </c>
      <c r="J41" s="2" t="inlineStr">
        <is>
          <t>measured</t>
        </is>
      </c>
      <c r="K41" s="2" t="inlineStr">
        <is>
          <t>1df66a4</t>
        </is>
      </c>
    </row>
    <row r="42">
      <c r="A42" s="2" t="n"/>
      <c r="B42" s="2" t="n"/>
      <c r="C42" s="7" t="inlineStr">
        <is>
          <t>TOTAL (direct, sum of activities)</t>
        </is>
      </c>
      <c r="D42" s="2" t="n"/>
      <c r="E42" s="2" t="n"/>
      <c r="F42" s="2" t="n"/>
      <c r="G42" s="7">
        <f>SUM(G2:G41)</f>
        <v/>
      </c>
      <c r="H42" s="8">
        <f>SUM(H2:H41)</f>
        <v/>
      </c>
      <c r="I42" s="9">
        <f>SUM(I2:I41)</f>
        <v/>
      </c>
      <c r="J42" s="2" t="n"/>
      <c r="K42" s="2" t="n"/>
    </row>
  </sheetData>
  <autoFilter ref="A1:K1"/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8" customWidth="1" min="3" max="3"/>
    <col width="9" customWidth="1" min="4" max="4"/>
    <col width="7" customWidth="1" min="5" max="5"/>
    <col width="13" customWidth="1" min="6" max="6"/>
    <col width="9" customWidth="1" min="7" max="7"/>
    <col width="14" customWidth="1" min="8" max="8"/>
    <col width="14" customWidth="1" min="9" max="9"/>
    <col width="16" customWidth="1" min="10" max="10"/>
    <col width="13" customWidth="1" min="11" max="11"/>
    <col width="14" customWidth="1" min="12" max="12"/>
    <col width="13" customWidth="1" min="13" max="13"/>
    <col width="12" customWidth="1" min="14" max="14"/>
    <col width="14" customWidth="1" min="15" max="15"/>
    <col width="15" customWidth="1" min="16" max="16"/>
    <col width="10" customWidth="1" min="17" max="17"/>
    <col width="42" customWidth="1" min="18" max="18"/>
  </cols>
  <sheetData>
    <row r="1" ht="28" customHeight="1">
      <c r="A1" s="1" t="inlineStr">
        <is>
          <t>Feature</t>
        </is>
      </c>
      <c r="B1" s="1" t="inlineStr">
        <is>
          <t>Date</t>
        </is>
      </c>
      <c r="C1" s="1" t="inlineStr">
        <is>
          <t>Model</t>
        </is>
      </c>
      <c r="D1" s="1" t="inlineStr">
        <is>
          <t>Activities</t>
        </is>
      </c>
      <c r="E1" s="1" t="inlineStr">
        <is>
          <t>LLM (A)</t>
        </is>
      </c>
      <c r="F1" s="1" t="inlineStr">
        <is>
          <t>Local/Remote (B/C)</t>
        </is>
      </c>
      <c r="G1" s="1" t="inlineStr">
        <is>
          <t>Prod. KLOC</t>
        </is>
      </c>
      <c r="H1" s="1" t="inlineStr">
        <is>
          <t>Est. tokens (direct)</t>
        </is>
      </c>
      <c r="I1" s="1" t="inlineStr">
        <is>
          <t>Direct LLM cost EST ($)</t>
        </is>
      </c>
      <c r="J1" s="1" t="inlineStr">
        <is>
          <t>Context/cache overhead EST ($)</t>
        </is>
      </c>
      <c r="K1" s="1" t="inlineStr">
        <is>
          <t>Total cost EST ($)</t>
        </is>
      </c>
      <c r="L1" s="1" t="inlineStr">
        <is>
          <t>Total cost ACTUAL ($)</t>
        </is>
      </c>
      <c r="M1" s="1" t="inlineStr">
        <is>
          <t>Cost variance ($)</t>
        </is>
      </c>
      <c r="N1" s="1" t="inlineStr">
        <is>
          <t>Local time (min)</t>
        </is>
      </c>
      <c r="O1" s="1" t="inlineStr">
        <is>
          <t>Total time EST (min)</t>
        </is>
      </c>
      <c r="P1" s="1" t="inlineStr">
        <is>
          <t>Total time ACTUAL (min)</t>
        </is>
      </c>
      <c r="Q1" s="1" t="inlineStr">
        <is>
          <t>$/KLOC EST</t>
        </is>
      </c>
      <c r="R1" s="1" t="inlineStr">
        <is>
          <t>Notes</t>
        </is>
      </c>
    </row>
    <row r="2">
      <c r="A2" s="2" t="inlineStr">
        <is>
          <t>Foundation (host + first 4 features + quality/docs/CI/release infra)</t>
        </is>
      </c>
      <c r="B2" s="2" t="inlineStr">
        <is>
          <t>2026-06-19..20</t>
        </is>
      </c>
      <c r="C2" s="2" t="inlineStr">
        <is>
          <t>Opus (multi-session)</t>
        </is>
      </c>
      <c r="D2" s="2" t="n"/>
      <c r="E2" s="2" t="n"/>
      <c r="F2" s="2" t="n"/>
      <c r="G2" s="2" t="n">
        <v>1.7</v>
      </c>
      <c r="H2" s="10" t="n">
        <v>2000000</v>
      </c>
      <c r="I2" s="4" t="n"/>
      <c r="J2" s="4" t="n"/>
      <c r="K2" s="4" t="n">
        <v>45</v>
      </c>
      <c r="L2" s="4" t="n"/>
      <c r="M2" s="4">
        <f>IF(ISNUMBER(L2),L2-K2,"pending /cost")</f>
        <v/>
      </c>
      <c r="N2" s="2" t="n"/>
      <c r="O2" s="2" t="n">
        <v>720</v>
      </c>
      <c r="P2" s="2" t="n"/>
      <c r="Q2" s="4" t="n">
        <v>26.47</v>
      </c>
      <c r="R2" s="2" t="inlineStr">
        <is>
          <t>ROUGH estimate - phases 1-17 predate DevEconomics tracking (not logged live).</t>
        </is>
      </c>
    </row>
    <row r="3">
      <c r="A3" s="2" t="inlineStr">
        <is>
          <t>Gmail + Google Drive downloaders</t>
        </is>
      </c>
      <c r="B3" s="2" t="inlineStr">
        <is>
          <t>2026-06-22</t>
        </is>
      </c>
      <c r="C3" s="2" t="inlineStr">
        <is>
          <t>Opus 4.8</t>
        </is>
      </c>
      <c r="D3" s="2" t="n">
        <v>40</v>
      </c>
      <c r="E3" s="2" t="n">
        <v>21</v>
      </c>
      <c r="F3" s="2" t="n">
        <v>19</v>
      </c>
      <c r="G3" s="2" t="n">
        <v>1.03</v>
      </c>
      <c r="H3" s="10" t="n">
        <v>121000</v>
      </c>
      <c r="I3" s="4" t="n">
        <v>2.73</v>
      </c>
      <c r="J3" s="4" t="n">
        <v>2.77</v>
      </c>
      <c r="K3" s="4" t="n">
        <v>5.5</v>
      </c>
      <c r="L3" s="4" t="n"/>
      <c r="M3" s="4">
        <f>IF(ISNUMBER(L3),L3-K3,"pending /cost")</f>
        <v/>
      </c>
      <c r="N3" s="2" t="n">
        <v>3.51</v>
      </c>
      <c r="O3" s="2" t="n">
        <v>48.01</v>
      </c>
      <c r="P3" s="2" t="n"/>
      <c r="Q3" s="4" t="n">
        <v>5.34</v>
      </c>
      <c r="R3" s="2" t="inlineStr">
        <is>
          <t>Estimate; reconcile ACTUAL via /cost. Excludes the DevEconomics report + cost analysis.</t>
        </is>
      </c>
    </row>
    <row r="4">
      <c r="A4" s="11" t="inlineStr">
        <is>
          <t>APP TOTAL (est)</t>
        </is>
      </c>
      <c r="B4" s="11" t="inlineStr"/>
      <c r="C4" s="11" t="inlineStr"/>
      <c r="D4" s="11" t="n"/>
      <c r="E4" s="11" t="n"/>
      <c r="F4" s="11" t="n"/>
      <c r="G4" s="11">
        <f>SUM(G2:G3)</f>
        <v/>
      </c>
      <c r="H4" s="12">
        <f>SUM(H2:H3)</f>
        <v/>
      </c>
      <c r="I4" s="13" t="n"/>
      <c r="J4" s="13" t="n"/>
      <c r="K4" s="13">
        <f>SUM(K2:K3)</f>
        <v/>
      </c>
      <c r="L4" s="13">
        <f>IF(COUNT(L2:L3)&gt;0,SUM(L2:L3),"")</f>
        <v/>
      </c>
      <c r="M4" s="13">
        <f>IF(ISNUMBER(L4),L4-K4,"pending /cost")</f>
        <v/>
      </c>
      <c r="N4" s="11" t="n"/>
      <c r="O4" s="11">
        <f>SUM(O2:O3)</f>
        <v/>
      </c>
      <c r="P4" s="11">
        <f>IF(COUNT(P2:P3)&gt;0,SUM(P2:P3),"")</f>
        <v/>
      </c>
      <c r="Q4" s="13">
        <f>IF(G4&gt;0,ROUND(K4/G4,2),"")</f>
        <v/>
      </c>
      <c r="R4" s="11" t="inlineStr">
        <is>
          <t>Whole-app development to date (foundation + tracked features).</t>
        </is>
      </c>
    </row>
  </sheetData>
  <autoFilter ref="A1:R1"/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4" t="inlineStr">
        <is>
          <t>DevEconomics trend - estimate vs actual per feature</t>
        </is>
      </c>
    </row>
    <row r="2">
      <c r="A2" s="15" t="inlineStr">
        <is>
          <t>AUTO-GENERATED by tools/docgen/build_deveconomics.py - do NOT edit this workbook by hand. Edit the script's data tables and run: python tools/docgen/build_deveconomics.py</t>
        </is>
      </c>
    </row>
    <row r="4">
      <c r="A4" s="16" t="inlineStr">
        <is>
          <t>As features accumulate, each row in 'Feature Summary' adds a point here. The chart compares estimated vs actual cost so the estimate error trends toward zero. Fill the ACTUAL columns from /cost after each feature, then re-run the generator.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2" customWidth="1" min="1" max="1"/>
    <col width="95" customWidth="1" min="2" max="2"/>
  </cols>
  <sheetData>
    <row r="1">
      <c r="A1" s="17" t="inlineStr">
        <is>
          <t>DigitalSecretary - DevEconomics workbook</t>
        </is>
      </c>
    </row>
    <row r="2">
      <c r="A2" s="15" t="inlineStr">
        <is>
          <t>AUTO-GENERATED by tools/docgen/build_deveconomics.py - do NOT edit this workbook by hand. Edit the script's data tables and run: python tools/docgen/build_deveconomics.py</t>
        </is>
      </c>
    </row>
    <row r="3">
      <c r="A3" s="18" t="inlineStr">
        <is>
          <t>Purpose</t>
        </is>
      </c>
      <c r="B3" s="18" t="inlineStr">
        <is>
          <t>Per-activity cost + time ledger for codeless development, with per-feature estimate-vs-actual tracking and a trend chart.</t>
        </is>
      </c>
    </row>
    <row r="4">
      <c r="A4" s="18" t="inlineStr">
        <is>
          <t>Cost buckets</t>
        </is>
      </c>
      <c r="B4" s="18" t="inlineStr">
        <is>
          <t>A = LLM tokens (the only metered cost); B = local compute ($0 tokens); C = remote/network ($0 tokens).</t>
        </is>
      </c>
    </row>
    <row r="5">
      <c r="A5" s="18" t="inlineStr">
        <is>
          <t>Rate card (Opus 4.8, $/1M tok)</t>
        </is>
      </c>
      <c r="B5" s="18" t="inlineStr">
        <is>
          <t>input 5.0, output 25.0, cache-read 0.5, cache-write 6.25.</t>
        </is>
      </c>
    </row>
    <row r="6">
      <c r="A6" s="18" t="inlineStr">
        <is>
          <t>Truth &amp; estimates</t>
        </is>
      </c>
      <c r="B6" s="18" t="inlineStr">
        <is>
          <t>Token/cost for LLM rows are ESTIMATES (the model can't read its own meter). Local times are MEASURED from command output where captured. Per-feature ACTUAL cost comes from /cost (Claude Code) or the Anthropic Console - fill columns J/N in Feature Summary, then re-run.</t>
        </is>
      </c>
    </row>
    <row r="7">
      <c r="A7" s="18" t="inlineStr">
        <is>
          <t>This release</t>
        </is>
      </c>
      <c r="B7" s="18" t="inlineStr">
        <is>
          <t>40 activities (21 LLM / 19 local|remote); ~$5.5 est; ~48.01 min est (~3.51 min measured local compute).</t>
        </is>
      </c>
    </row>
    <row r="8">
      <c r="A8" s="18" t="inlineStr">
        <is>
          <t>Whole app to date (est)</t>
        </is>
      </c>
      <c r="B8" s="18" t="inlineStr">
        <is>
          <t>~2.73 prod KLOC; ~$50.5 est; ~12.8 h est. Foundation portion is a ROUGH pre-tracking estimate.</t>
        </is>
      </c>
    </row>
    <row r="9">
      <c r="A9" s="18" t="inlineStr">
        <is>
          <t>Regenerate</t>
        </is>
      </c>
      <c r="B9" s="18" t="inlineStr">
        <is>
          <t>python tools/docgen/build_deveconomics.py</t>
        </is>
      </c>
    </row>
    <row r="10">
      <c r="A10" s="18" t="inlineStr">
        <is>
          <t>Companion</t>
        </is>
      </c>
      <c r="B10" s="18" t="inlineStr">
        <is>
          <t>docs/DEVECONOMICS.md (narrative + improvement levers); docs/DEVELOPMENT_JOURNAL.md (what/why).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2026-06-22T06:41:01Z</dcterms:created>
  <dcterms:modified xmlns:dcterms="http://purl.org/dc/terms/" xmlns:xsi="http://www.w3.org/2001/XMLSchema-instance" xsi:type="dcterms:W3CDTF">2026-06-22T06:41:01Z</dcterms:modified>
</cp:coreProperties>
</file>