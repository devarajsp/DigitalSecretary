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Log" sheetId="1" state="visible" r:id="rId1"/>
    <sheet xmlns:r="http://schemas.openxmlformats.org/officeDocument/2006/relationships" name="Feature Summary" sheetId="2" state="visible" r:id="rId2"/>
    <sheet xmlns:r="http://schemas.openxmlformats.org/officeDocument/2006/relationships" name="Trend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'Activity Log'!$A$1:$K$1</definedName>
    <definedName name="_xlnm._FilterDatabase" localSheetId="1" hidden="1">'Feature Summary'!$A$1:$R$1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color rgb="00C00000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pivotButton="0" quotePrefix="0" xfId="0"/>
    <xf numFmtId="164" fontId="1" fillId="0" borderId="0" pivotButton="0" quotePrefix="0" xfId="0"/>
    <xf numFmtId="2" fontId="1" fillId="0" borderId="0" pivotButton="0" quotePrefix="0" xfId="0"/>
    <xf numFmtId="3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3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scope: EST vs ACTUAL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'Feature Summary'!K1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Summary'!$A$2:$A$3</f>
            </numRef>
          </cat>
          <val>
            <numRef>
              <f>'Feature Summary'!$K$2:$K$3</f>
            </numRef>
          </val>
        </ser>
        <ser>
          <idx val="1"/>
          <order val="1"/>
          <tx>
            <strRef>
              <f>'Feature Summary'!L1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Summary'!$A$2:$A$3</f>
            </numRef>
          </cat>
          <val>
            <numRef>
              <f>'Feature Summary'!$L$2:$L$3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per scope: EST vs ACTUAL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'Feature Summary'!O1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Summary'!$A$2:$A$3</f>
            </numRef>
          </cat>
          <val>
            <numRef>
              <f>'Feature Summary'!$O$2:$O$3</f>
            </numRef>
          </val>
        </ser>
        <ser>
          <idx val="1"/>
          <order val="1"/>
          <tx>
            <strRef>
              <f>'Feature Summary'!P1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 Summary'!$A$2:$A$3</f>
            </numRef>
          </cat>
          <val>
            <numRef>
              <f>'Feature Summary'!$P$2:$P$3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build_deveconomics</author>
  </authors>
  <commentList>
    <comment ref="A1" authorId="0" shapeId="0">
      <text>
        <t>AUTO-GENERATED by tools/docgen/build_deveconomics.py - do NOT edit this workbook by hand. Edit the script's data tables and run: python tools/docgen/build_deveconomics.py</t>
      </text>
    </comment>
  </commentList>
</comments>
</file>

<file path=xl/comments/comment2.xml><?xml version="1.0" encoding="utf-8"?>
<comments xmlns="http://schemas.openxmlformats.org/spreadsheetml/2006/main">
  <authors>
    <author>build_deveconomics</author>
  </authors>
  <commentList>
    <comment ref="A1" authorId="0" shapeId="0">
      <text>
        <t>AUTO-GENERATED by tools/docgen/build_deveconomics.py - do NOT edit this workbook by hand. Edit the script's data tables and run: python tools/docgen/build_deveconomics.py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2" customWidth="1" min="3" max="3"/>
    <col width="20" customWidth="1" min="4" max="4"/>
    <col width="20" customWidth="1" min="5" max="5"/>
    <col width="6" customWidth="1" min="6" max="6"/>
    <col width="11" customWidth="1" min="7" max="7"/>
    <col width="13" customWidth="1" min="8" max="8"/>
    <col width="10" customWidth="1" min="9" max="9"/>
    <col width="11" customWidth="1" min="10" max="10"/>
    <col width="26" customWidth="1" min="11" max="11"/>
  </cols>
  <sheetData>
    <row r="1" ht="28" customHeight="1">
      <c r="A1" s="1" t="inlineStr">
        <is>
          <t>#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Bucket</t>
        </is>
      </c>
      <c r="E1" s="1" t="inlineStr">
        <is>
          <t>Tool / Method</t>
        </is>
      </c>
      <c r="F1" s="1" t="inlineStr">
        <is>
          <t>LLM?</t>
        </is>
      </c>
      <c r="G1" s="1" t="inlineStr">
        <is>
          <t>Est. Tokens</t>
        </is>
      </c>
      <c r="H1" s="1" t="inlineStr">
        <is>
          <t>Est. Cost (USD)</t>
        </is>
      </c>
      <c r="I1" s="1" t="inlineStr">
        <is>
          <t>Time (min)</t>
        </is>
      </c>
      <c r="J1" s="1" t="inlineStr">
        <is>
          <t>Time Basis</t>
        </is>
      </c>
      <c r="K1" s="1" t="inlineStr">
        <is>
          <t>Notes</t>
        </is>
      </c>
    </row>
    <row r="2">
      <c r="A2" s="2" t="n">
        <v>1</v>
      </c>
      <c r="B2" s="2" t="inlineStr">
        <is>
          <t>Explore</t>
        </is>
      </c>
      <c r="C2" s="2" t="inlineStr">
        <is>
          <t>Locate the project; read Similar Pictures end to end; write the Similar Videos strategy and four decisions for the owner</t>
        </is>
      </c>
      <c r="D2" s="3" t="inlineStr">
        <is>
          <t>A - LLM tokens</t>
        </is>
      </c>
      <c r="E2" s="2" t="inlineStr">
        <is>
          <t>Read/Write</t>
        </is>
      </c>
      <c r="F2" s="2" t="inlineStr">
        <is>
          <t>Yes</t>
        </is>
      </c>
      <c r="G2" s="2" t="n">
        <v>15000</v>
      </c>
      <c r="H2" s="4" t="n">
        <v>0.6</v>
      </c>
      <c r="I2" s="5" t="n">
        <v>6</v>
      </c>
      <c r="J2" s="2" t="inlineStr">
        <is>
          <t>estimate</t>
        </is>
      </c>
      <c r="K2" s="2" t="inlineStr">
        <is>
          <t>owner: use the recommended defaults</t>
        </is>
      </c>
    </row>
    <row r="3">
      <c r="A3" s="2" t="n">
        <v>2</v>
      </c>
      <c r="B3" s="2" t="inlineStr">
        <is>
          <t>Gate</t>
        </is>
      </c>
      <c r="C3" s="2" t="inlineStr">
        <is>
          <t>Baseline quality gate before any change</t>
        </is>
      </c>
      <c r="D3" s="6" t="inlineStr">
        <is>
          <t>B - Local ($0)</t>
        </is>
      </c>
      <c r="E3" s="2" t="inlineStr">
        <is>
          <t>build.ps1 -All</t>
        </is>
      </c>
      <c r="F3" s="2" t="inlineStr">
        <is>
          <t>No</t>
        </is>
      </c>
      <c r="G3" s="2" t="n"/>
      <c r="H3" s="4" t="n">
        <v>0</v>
      </c>
      <c r="I3" s="5" t="n">
        <v>1.7</v>
      </c>
      <c r="J3" s="2" t="inlineStr">
        <is>
          <t>measured</t>
        </is>
      </c>
      <c r="K3" s="2" t="inlineStr">
        <is>
          <t>PASS, 584 unit + 27 QA</t>
        </is>
      </c>
    </row>
    <row r="4">
      <c r="A4" s="2" t="n">
        <v>3</v>
      </c>
      <c r="B4" s="2" t="inlineStr">
        <is>
          <t>Refactor</t>
        </is>
      </c>
      <c r="C4" s="2" t="inlineStr">
        <is>
          <t>ENH-12 kit: move ByteSize/PauseToken/FileBytes/GrayImage/ImageHasher, generic ReviewFolder; UseKit opt-in; golden rule 1 + architecture docs</t>
        </is>
      </c>
      <c r="D4" s="3" t="inlineStr">
        <is>
          <t>A - LLM tokens</t>
        </is>
      </c>
      <c r="E4" s="2" t="inlineStr">
        <is>
          <t>Write/Edit</t>
        </is>
      </c>
      <c r="F4" s="2" t="inlineStr">
        <is>
          <t>Yes</t>
        </is>
      </c>
      <c r="G4" s="2" t="n">
        <v>18000</v>
      </c>
      <c r="H4" s="4" t="n">
        <v>0.7</v>
      </c>
      <c r="I4" s="5" t="n">
        <v>10</v>
      </c>
      <c r="J4" s="2" t="inlineStr">
        <is>
          <t>estimate</t>
        </is>
      </c>
      <c r="K4" s="2" t="inlineStr">
        <is>
          <t>3 copies + 4 duplicate test files removed</t>
        </is>
      </c>
    </row>
    <row r="5">
      <c r="A5" s="2" t="n">
        <v>4</v>
      </c>
      <c r="B5" s="2" t="inlineStr">
        <is>
          <t>Gate</t>
        </is>
      </c>
      <c r="C5" s="2" t="inlineStr">
        <is>
          <t>Pre-commit gate on the kit commit</t>
        </is>
      </c>
      <c r="D5" s="6" t="inlineStr">
        <is>
          <t>B - Local ($0)</t>
        </is>
      </c>
      <c r="E5" s="2" t="inlineStr">
        <is>
          <t>build.ps1 -NoPrompt</t>
        </is>
      </c>
      <c r="F5" s="2" t="inlineStr">
        <is>
          <t>No</t>
        </is>
      </c>
      <c r="G5" s="2" t="n"/>
      <c r="H5" s="4" t="n">
        <v>0</v>
      </c>
      <c r="I5" s="5" t="n">
        <v>0.5</v>
      </c>
      <c r="J5" s="2" t="inlineStr">
        <is>
          <t>measured</t>
        </is>
      </c>
      <c r="K5" s="2" t="inlineStr"/>
    </row>
    <row r="6">
      <c r="A6" s="2" t="n">
        <v>5</v>
      </c>
      <c r="B6" s="2" t="inlineStr">
        <is>
          <t>Refactor</t>
        </is>
      </c>
      <c r="C6" s="2" t="inlineStr">
        <is>
          <t>Kit part 2: FileRecordCache, IncrementalScanner, FileNames, Ranking, SampleScene; Similar Pictures delegates (API unchanged)</t>
        </is>
      </c>
      <c r="D6" s="3" t="inlineStr">
        <is>
          <t>A - LLM tokens</t>
        </is>
      </c>
      <c r="E6" s="2" t="inlineStr">
        <is>
          <t>Write/Edit</t>
        </is>
      </c>
      <c r="F6" s="2" t="inlineStr">
        <is>
          <t>Yes</t>
        </is>
      </c>
      <c r="G6" s="2" t="n">
        <v>16000</v>
      </c>
      <c r="H6" s="4" t="n">
        <v>0.6</v>
      </c>
      <c r="I6" s="5" t="n">
        <v>9</v>
      </c>
      <c r="J6" s="2" t="inlineStr">
        <is>
          <t>estimate</t>
        </is>
      </c>
      <c r="K6" s="2" t="inlineStr">
        <is>
          <t>picture tests unchanged and green</t>
        </is>
      </c>
    </row>
    <row r="7">
      <c r="A7" s="2" t="n">
        <v>6</v>
      </c>
      <c r="B7" s="2" t="inlineStr">
        <is>
          <t>Bugfix</t>
        </is>
      </c>
      <c r="C7" s="2" t="inlineStr">
        <is>
          <t>CA1000 static-on-generic, ScanProgress name clash, three shell-escaping slips on a backslash literal</t>
        </is>
      </c>
      <c r="D7" s="3" t="inlineStr">
        <is>
          <t>A - LLM tokens</t>
        </is>
      </c>
      <c r="E7" s="2" t="inlineStr">
        <is>
          <t>Edit</t>
        </is>
      </c>
      <c r="F7" s="2" t="inlineStr">
        <is>
          <t>Yes</t>
        </is>
      </c>
      <c r="G7" s="2" t="n">
        <v>6000</v>
      </c>
      <c r="H7" s="4" t="n">
        <v>0.22</v>
      </c>
      <c r="I7" s="5" t="n">
        <v>4</v>
      </c>
      <c r="J7" s="2" t="inlineStr">
        <is>
          <t>estimate</t>
        </is>
      </c>
      <c r="K7" s="2" t="inlineStr">
        <is>
          <t>waste - see journal pitfall</t>
        </is>
      </c>
    </row>
    <row r="8">
      <c r="A8" s="2" t="n">
        <v>7</v>
      </c>
      <c r="B8" s="2" t="inlineStr">
        <is>
          <t>Build</t>
        </is>
      </c>
      <c r="C8" s="2" t="inlineStr">
        <is>
          <t>Hand-written Media Foundation interop: Source Reader, Sample, Buffer, Attributes, Sink Writer (no NuGet)</t>
        </is>
      </c>
      <c r="D8" s="3" t="inlineStr">
        <is>
          <t>A - LLM tokens</t>
        </is>
      </c>
      <c r="E8" s="2" t="inlineStr">
        <is>
          <t>Write</t>
        </is>
      </c>
      <c r="F8" s="2" t="inlineStr">
        <is>
          <t>Yes</t>
        </is>
      </c>
      <c r="G8" s="2" t="n">
        <v>14000</v>
      </c>
      <c r="H8" s="4" t="n">
        <v>0.55</v>
      </c>
      <c r="I8" s="5" t="n">
        <v>8</v>
      </c>
      <c r="J8" s="2" t="inlineStr">
        <is>
          <t>estimate</t>
        </is>
      </c>
      <c r="K8" s="2" t="inlineStr">
        <is>
          <t>worked first time</t>
        </is>
      </c>
    </row>
    <row r="9">
      <c r="A9" s="2" t="n">
        <v>8</v>
      </c>
      <c r="B9" s="2" t="inlineStr">
        <is>
          <t>Build</t>
        </is>
      </c>
      <c r="C9" s="2" t="inlineStr">
        <is>
          <t>Engine: VideoDecoder/ReaderSession (exact seek, stride, rotation), record + cache, scanner (Live Photos), matcher, keeper ranking, mover, settings, report, sample set</t>
        </is>
      </c>
      <c r="D9" s="3" t="inlineStr">
        <is>
          <t>A - LLM tokens</t>
        </is>
      </c>
      <c r="E9" s="2" t="inlineStr">
        <is>
          <t>Write</t>
        </is>
      </c>
      <c r="F9" s="2" t="inlineStr">
        <is>
          <t>Yes</t>
        </is>
      </c>
      <c r="G9" s="2" t="n">
        <v>34000</v>
      </c>
      <c r="H9" s="4" t="n">
        <v>1.3</v>
      </c>
      <c r="I9" s="5" t="n">
        <v>18</v>
      </c>
      <c r="J9" s="2" t="inlineStr">
        <is>
          <t>estimate</t>
        </is>
      </c>
      <c r="K9" s="2" t="inlineStr"/>
    </row>
    <row r="10">
      <c r="A10" s="2" t="n">
        <v>9</v>
      </c>
      <c r="B10" s="2" t="inlineStr">
        <is>
          <t>Tests</t>
        </is>
      </c>
      <c r="C10" s="2" t="inlineStr">
        <is>
          <t>TestVideoWriter (encode MP4s at test time) + Media Foundation round-trip tests</t>
        </is>
      </c>
      <c r="D10" s="3" t="inlineStr">
        <is>
          <t>A - LLM tokens</t>
        </is>
      </c>
      <c r="E10" s="2" t="inlineStr">
        <is>
          <t>Write</t>
        </is>
      </c>
      <c r="F10" s="2" t="inlineStr">
        <is>
          <t>Yes</t>
        </is>
      </c>
      <c r="G10" s="2" t="n">
        <v>9000</v>
      </c>
      <c r="H10" s="4" t="n">
        <v>0.35</v>
      </c>
      <c r="I10" s="5" t="n">
        <v>5</v>
      </c>
      <c r="J10" s="2" t="inlineStr">
        <is>
          <t>estimate</t>
        </is>
      </c>
      <c r="K10" s="2" t="inlineStr">
        <is>
          <t>no binary test files</t>
        </is>
      </c>
    </row>
    <row r="11">
      <c r="A11" s="2" t="n">
        <v>10</v>
      </c>
      <c r="B11" s="2" t="inlineStr">
        <is>
          <t>Calibrate</t>
        </is>
      </c>
      <c r="C11" s="2" t="inlineStr">
        <is>
          <t>Probe: per-frame distances across re-encodes; found codec padding (160x88 decoded as 160x96) and brittle per-frame dHash</t>
        </is>
      </c>
      <c r="D11" s="3" t="inlineStr">
        <is>
          <t>A - LLM tokens</t>
        </is>
      </c>
      <c r="E11" s="2" t="inlineStr">
        <is>
          <t>Write/Edit</t>
        </is>
      </c>
      <c r="F11" s="2" t="inlineStr">
        <is>
          <t>Yes</t>
        </is>
      </c>
      <c r="G11" s="2" t="n">
        <v>14000</v>
      </c>
      <c r="H11" s="4" t="n">
        <v>0.5</v>
      </c>
      <c r="I11" s="5" t="n">
        <v>9</v>
      </c>
      <c r="J11" s="2" t="inlineStr">
        <is>
          <t>estimate</t>
        </is>
      </c>
      <c r="K11" s="2" t="inlineStr">
        <is>
          <t>-&gt; crop to aperture; judge dHash on the mean</t>
        </is>
      </c>
    </row>
    <row r="12">
      <c r="A12" s="2" t="n">
        <v>11</v>
      </c>
      <c r="B12" s="2" t="inlineStr">
        <is>
          <t>Calibrate</t>
        </is>
      </c>
      <c r="C12" s="2" t="inlineStr">
        <is>
          <t>Run the probes</t>
        </is>
      </c>
      <c r="D12" s="6" t="inlineStr">
        <is>
          <t>B - Local ($0)</t>
        </is>
      </c>
      <c r="E12" s="2" t="inlineStr">
        <is>
          <t>dotnet test</t>
        </is>
      </c>
      <c r="F12" s="2" t="inlineStr">
        <is>
          <t>No</t>
        </is>
      </c>
      <c r="G12" s="2" t="n"/>
      <c r="H12" s="4" t="n">
        <v>0</v>
      </c>
      <c r="I12" s="5" t="n">
        <v>1</v>
      </c>
      <c r="J12" s="2" t="inlineStr">
        <is>
          <t>measured</t>
        </is>
      </c>
      <c r="K12" s="2" t="inlineStr"/>
    </row>
    <row r="13">
      <c r="A13" s="2" t="n">
        <v>12</v>
      </c>
      <c r="B13" s="2" t="inlineStr">
        <is>
          <t>Build</t>
        </is>
      </c>
      <c r="C13" s="2" t="inlineStr">
        <is>
          <t>Review UI: VideoCardControl (film strip) + SimilarVideosControl</t>
        </is>
      </c>
      <c r="D13" s="3" t="inlineStr">
        <is>
          <t>A - LLM tokens</t>
        </is>
      </c>
      <c r="E13" s="2" t="inlineStr">
        <is>
          <t>Write</t>
        </is>
      </c>
      <c r="F13" s="2" t="inlineStr">
        <is>
          <t>Yes</t>
        </is>
      </c>
      <c r="G13" s="2" t="n">
        <v>22000</v>
      </c>
      <c r="H13" s="4" t="n">
        <v>0.85</v>
      </c>
      <c r="I13" s="5" t="n">
        <v>10</v>
      </c>
      <c r="J13" s="2" t="inlineStr">
        <is>
          <t>estimate</t>
        </is>
      </c>
      <c r="K13" s="2" t="inlineStr"/>
    </row>
    <row r="14">
      <c r="A14" s="2" t="n">
        <v>13</v>
      </c>
      <c r="B14" s="2" t="inlineStr">
        <is>
          <t>Tests</t>
        </is>
      </c>
      <c r="C14" s="2" t="inlineStr">
        <is>
          <t>8 unit-test files + the scan -&gt; group -&gt; move -&gt; rescan -&gt; undo pipeline test + kit helper tests</t>
        </is>
      </c>
      <c r="D14" s="3" t="inlineStr">
        <is>
          <t>A - LLM tokens</t>
        </is>
      </c>
      <c r="E14" s="2" t="inlineStr">
        <is>
          <t>Write</t>
        </is>
      </c>
      <c r="F14" s="2" t="inlineStr">
        <is>
          <t>Yes</t>
        </is>
      </c>
      <c r="G14" s="2" t="n">
        <v>30000</v>
      </c>
      <c r="H14" s="4" t="n">
        <v>1.15</v>
      </c>
      <c r="I14" s="5" t="n">
        <v>15</v>
      </c>
      <c r="J14" s="2" t="inlineStr">
        <is>
          <t>estimate</t>
        </is>
      </c>
      <c r="K14" s="2" t="inlineStr">
        <is>
          <t>all 622 green on the first run</t>
        </is>
      </c>
    </row>
    <row r="15">
      <c r="A15" s="2" t="n">
        <v>14</v>
      </c>
      <c r="B15" s="2" t="inlineStr">
        <is>
          <t>Tests</t>
        </is>
      </c>
      <c r="C15" s="2" t="inlineStr">
        <is>
          <t>Unit + QA runs</t>
        </is>
      </c>
      <c r="D15" s="6" t="inlineStr">
        <is>
          <t>B - Local ($0)</t>
        </is>
      </c>
      <c r="E15" s="2" t="inlineStr">
        <is>
          <t>dotnet test</t>
        </is>
      </c>
      <c r="F15" s="2" t="inlineStr">
        <is>
          <t>No</t>
        </is>
      </c>
      <c r="G15" s="2" t="n"/>
      <c r="H15" s="4" t="n">
        <v>0</v>
      </c>
      <c r="I15" s="5" t="n">
        <v>1</v>
      </c>
      <c r="J15" s="2" t="inlineStr">
        <is>
          <t>measured</t>
        </is>
      </c>
      <c r="K15" s="2" t="inlineStr">
        <is>
          <t>622 unit + 30 QA</t>
        </is>
      </c>
    </row>
    <row r="16">
      <c r="A16" s="2" t="n">
        <v>15</v>
      </c>
      <c r="B16" s="2" t="inlineStr">
        <is>
          <t>Tests</t>
        </is>
      </c>
      <c r="C16" s="2" t="inlineStr">
        <is>
          <t>QA test (real plugin, sample, click) + DocShots hook; card layout fix after looking at the screenshot</t>
        </is>
      </c>
      <c r="D16" s="3" t="inlineStr">
        <is>
          <t>A - LLM tokens</t>
        </is>
      </c>
      <c r="E16" s="2" t="inlineStr">
        <is>
          <t>Write/Edit</t>
        </is>
      </c>
      <c r="F16" s="2" t="inlineStr">
        <is>
          <t>Yes</t>
        </is>
      </c>
      <c r="G16" s="2" t="n">
        <v>8000</v>
      </c>
      <c r="H16" s="4" t="n">
        <v>0.3</v>
      </c>
      <c r="I16" s="5" t="n">
        <v>5</v>
      </c>
      <c r="J16" s="2" t="inlineStr">
        <is>
          <t>estimate</t>
        </is>
      </c>
      <c r="K16" s="2" t="inlineStr"/>
    </row>
    <row r="17">
      <c r="A17" s="2" t="n">
        <v>16</v>
      </c>
      <c r="B17" s="2" t="inlineStr">
        <is>
          <t>Docgen</t>
        </is>
      </c>
      <c r="C17" s="2" t="inlineStr">
        <is>
          <t>Regenerate DocShots screenshots (twice)</t>
        </is>
      </c>
      <c r="D17" s="6" t="inlineStr">
        <is>
          <t>B - Local ($0)</t>
        </is>
      </c>
      <c r="E17" s="2" t="inlineStr">
        <is>
          <t>dotnet run</t>
        </is>
      </c>
      <c r="F17" s="2" t="inlineStr">
        <is>
          <t>No</t>
        </is>
      </c>
      <c r="G17" s="2" t="n"/>
      <c r="H17" s="4" t="n">
        <v>0</v>
      </c>
      <c r="I17" s="5" t="n">
        <v>0.8</v>
      </c>
      <c r="J17" s="2" t="inlineStr">
        <is>
          <t>measured</t>
        </is>
      </c>
      <c r="K17" s="2" t="inlineStr"/>
    </row>
    <row r="18">
      <c r="A18" s="2" t="n">
        <v>17</v>
      </c>
      <c r="B18" s="2" t="inlineStr">
        <is>
          <t>Docs</t>
        </is>
      </c>
      <c r="C18" s="2" t="inlineStr">
        <is>
          <t>FEATURE.md, requirement doc (SVD-1..20), user guide, manual section, hubs, README row, Pages card, kit README</t>
        </is>
      </c>
      <c r="D18" s="3" t="inlineStr">
        <is>
          <t>A - LLM tokens</t>
        </is>
      </c>
      <c r="E18" s="2" t="inlineStr">
        <is>
          <t>Write</t>
        </is>
      </c>
      <c r="F18" s="2" t="inlineStr">
        <is>
          <t>Yes</t>
        </is>
      </c>
      <c r="G18" s="2" t="n">
        <v>24000</v>
      </c>
      <c r="H18" s="4" t="n">
        <v>0.9</v>
      </c>
      <c r="I18" s="5" t="n">
        <v>12</v>
      </c>
      <c r="J18" s="2" t="inlineStr">
        <is>
          <t>estimate</t>
        </is>
      </c>
      <c r="K18" s="2" t="inlineStr"/>
    </row>
    <row r="19">
      <c r="A19" s="2" t="n">
        <v>18</v>
      </c>
      <c r="B19" s="2" t="inlineStr">
        <is>
          <t>Docgen</t>
        </is>
      </c>
      <c r="C19" s="2" t="inlineStr">
        <is>
          <t>20 requirement + 11 traceability rows, SVD id in check_docs regex</t>
        </is>
      </c>
      <c r="D19" s="3" t="inlineStr">
        <is>
          <t>A - LLM tokens</t>
        </is>
      </c>
      <c r="E19" s="2" t="inlineStr">
        <is>
          <t>Write</t>
        </is>
      </c>
      <c r="F19" s="2" t="inlineStr">
        <is>
          <t>Yes</t>
        </is>
      </c>
      <c r="G19" s="2" t="n">
        <v>9000</v>
      </c>
      <c r="H19" s="4" t="n">
        <v>0.35</v>
      </c>
      <c r="I19" s="5" t="n">
        <v>4</v>
      </c>
      <c r="J19" s="2" t="inlineStr">
        <is>
          <t>estimate</t>
        </is>
      </c>
      <c r="K19" s="2" t="inlineStr"/>
    </row>
    <row r="20">
      <c r="A20" s="2" t="n">
        <v>19</v>
      </c>
      <c r="B20" s="2" t="inlineStr">
        <is>
          <t>Docgen</t>
        </is>
      </c>
      <c r="C20" s="2" t="inlineStr">
        <is>
          <t>Regenerate requirements/traceability xlsx + HTML user manual; docs check</t>
        </is>
      </c>
      <c r="D20" s="6" t="inlineStr">
        <is>
          <t>B - Local ($0)</t>
        </is>
      </c>
      <c r="E20" s="2" t="inlineStr">
        <is>
          <t>python + powershell</t>
        </is>
      </c>
      <c r="F20" s="2" t="inlineStr">
        <is>
          <t>No</t>
        </is>
      </c>
      <c r="G20" s="2" t="n"/>
      <c r="H20" s="4" t="n">
        <v>0</v>
      </c>
      <c r="I20" s="5" t="n">
        <v>0.4</v>
      </c>
      <c r="J20" s="2" t="inlineStr">
        <is>
          <t>measured</t>
        </is>
      </c>
      <c r="K20" s="2" t="inlineStr">
        <is>
          <t>cleanliness check PASSED</t>
        </is>
      </c>
    </row>
    <row r="21">
      <c r="A21" s="2" t="n">
        <v>20</v>
      </c>
      <c r="B21" s="2" t="inlineStr">
        <is>
          <t>Gate</t>
        </is>
      </c>
      <c r="C21" s="2" t="inlineStr">
        <is>
          <t>Full quality gate</t>
        </is>
      </c>
      <c r="D21" s="6" t="inlineStr">
        <is>
          <t>B - Local ($0)</t>
        </is>
      </c>
      <c r="E21" s="2" t="inlineStr">
        <is>
          <t>build.ps1 -All</t>
        </is>
      </c>
      <c r="F21" s="2" t="inlineStr">
        <is>
          <t>No</t>
        </is>
      </c>
      <c r="G21" s="2" t="n"/>
      <c r="H21" s="4" t="n">
        <v>0</v>
      </c>
      <c r="I21" s="5" t="n">
        <v>1.7</v>
      </c>
      <c r="J21" s="2" t="inlineStr">
        <is>
          <t>measured</t>
        </is>
      </c>
      <c r="K21" s="2" t="inlineStr">
        <is>
          <t>PASS, 652 tests, 93.9%</t>
        </is>
      </c>
    </row>
    <row r="22">
      <c r="A22" s="2" t="n">
        <v>21</v>
      </c>
      <c r="B22" s="2" t="inlineStr">
        <is>
          <t>Release</t>
        </is>
      </c>
      <c r="C22" s="2" t="inlineStr">
        <is>
          <t>CHANGELOG 2.6.0, journal phase 25, DevEconomics, PM trackers, memory note</t>
        </is>
      </c>
      <c r="D22" s="3" t="inlineStr">
        <is>
          <t>A - LLM tokens</t>
        </is>
      </c>
      <c r="E22" s="2" t="inlineStr">
        <is>
          <t>Write/Edit</t>
        </is>
      </c>
      <c r="F22" s="2" t="inlineStr">
        <is>
          <t>Yes</t>
        </is>
      </c>
      <c r="G22" s="2" t="n">
        <v>12000</v>
      </c>
      <c r="H22" s="4" t="n">
        <v>0.45</v>
      </c>
      <c r="I22" s="5" t="n">
        <v>8</v>
      </c>
      <c r="J22" s="2" t="inlineStr">
        <is>
          <t>estimate</t>
        </is>
      </c>
      <c r="K22" s="2" t="inlineStr">
        <is>
          <t>this release entry</t>
        </is>
      </c>
    </row>
    <row r="23">
      <c r="A23" s="2" t="n">
        <v>22</v>
      </c>
      <c r="B23" s="2" t="inlineStr">
        <is>
          <t>Gate</t>
        </is>
      </c>
      <c r="C23" s="2" t="inlineStr">
        <is>
          <t>Storage report</t>
        </is>
      </c>
      <c r="D23" s="6" t="inlineStr">
        <is>
          <t>B - Local ($0)</t>
        </is>
      </c>
      <c r="E23" s="2" t="inlineStr">
        <is>
          <t>node storage-report.mjs</t>
        </is>
      </c>
      <c r="F23" s="2" t="inlineStr">
        <is>
          <t>No</t>
        </is>
      </c>
      <c r="G23" s="2" t="n"/>
      <c r="H23" s="4" t="n">
        <v>0</v>
      </c>
      <c r="I23" s="5" t="n">
        <v>0.2</v>
      </c>
      <c r="J23" s="2" t="inlineStr">
        <is>
          <t>measured</t>
        </is>
      </c>
      <c r="K23" s="2" t="inlineStr">
        <is>
          <t>docs/pm/STORAGE.md</t>
        </is>
      </c>
    </row>
    <row r="24">
      <c r="A24" s="2" t="n"/>
      <c r="B24" s="2" t="n"/>
      <c r="C24" s="7" t="inlineStr">
        <is>
          <t>TOTAL (direct, sum of activities)</t>
        </is>
      </c>
      <c r="D24" s="2" t="n"/>
      <c r="E24" s="2" t="n"/>
      <c r="F24" s="2" t="n"/>
      <c r="G24" s="7">
        <f>SUM(G2:G23)</f>
        <v/>
      </c>
      <c r="H24" s="8">
        <f>SUM(H2:H23)</f>
        <v/>
      </c>
      <c r="I24" s="9">
        <f>SUM(I2:I23)</f>
        <v/>
      </c>
      <c r="J24" s="2" t="n"/>
      <c r="K24" s="2" t="n"/>
    </row>
  </sheetData>
  <autoFilter ref="A1:K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8" customWidth="1" min="3" max="3"/>
    <col width="9" customWidth="1" min="4" max="4"/>
    <col width="7" customWidth="1" min="5" max="5"/>
    <col width="13" customWidth="1" min="6" max="6"/>
    <col width="9" customWidth="1" min="7" max="7"/>
    <col width="14" customWidth="1" min="8" max="8"/>
    <col width="14" customWidth="1" min="9" max="9"/>
    <col width="16" customWidth="1" min="10" max="10"/>
    <col width="13" customWidth="1" min="11" max="11"/>
    <col width="14" customWidth="1" min="12" max="12"/>
    <col width="13" customWidth="1" min="13" max="13"/>
    <col width="12" customWidth="1" min="14" max="14"/>
    <col width="14" customWidth="1" min="15" max="15"/>
    <col width="15" customWidth="1" min="16" max="16"/>
    <col width="10" customWidth="1" min="17" max="17"/>
    <col width="42" customWidth="1" min="18" max="18"/>
  </cols>
  <sheetData>
    <row r="1" ht="28" customHeight="1">
      <c r="A1" s="1" t="inlineStr">
        <is>
          <t>Feature</t>
        </is>
      </c>
      <c r="B1" s="1" t="inlineStr">
        <is>
          <t>Date</t>
        </is>
      </c>
      <c r="C1" s="1" t="inlineStr">
        <is>
          <t>Model</t>
        </is>
      </c>
      <c r="D1" s="1" t="inlineStr">
        <is>
          <t>Activities</t>
        </is>
      </c>
      <c r="E1" s="1" t="inlineStr">
        <is>
          <t>LLM (A)</t>
        </is>
      </c>
      <c r="F1" s="1" t="inlineStr">
        <is>
          <t>Local/Remote (B/C)</t>
        </is>
      </c>
      <c r="G1" s="1" t="inlineStr">
        <is>
          <t>Prod. KLOC</t>
        </is>
      </c>
      <c r="H1" s="1" t="inlineStr">
        <is>
          <t>Est. tokens (direct)</t>
        </is>
      </c>
      <c r="I1" s="1" t="inlineStr">
        <is>
          <t>Direct LLM cost EST ($)</t>
        </is>
      </c>
      <c r="J1" s="1" t="inlineStr">
        <is>
          <t>Context/cache overhead EST ($)</t>
        </is>
      </c>
      <c r="K1" s="1" t="inlineStr">
        <is>
          <t>Total cost EST ($)</t>
        </is>
      </c>
      <c r="L1" s="1" t="inlineStr">
        <is>
          <t>Total cost ACTUAL ($)</t>
        </is>
      </c>
      <c r="M1" s="1" t="inlineStr">
        <is>
          <t>Cost variance ($)</t>
        </is>
      </c>
      <c r="N1" s="1" t="inlineStr">
        <is>
          <t>Local time (min)</t>
        </is>
      </c>
      <c r="O1" s="1" t="inlineStr">
        <is>
          <t>Total time EST (min)</t>
        </is>
      </c>
      <c r="P1" s="1" t="inlineStr">
        <is>
          <t>Total time ACTUAL (min)</t>
        </is>
      </c>
      <c r="Q1" s="1" t="inlineStr">
        <is>
          <t>$/KLOC EST</t>
        </is>
      </c>
      <c r="R1" s="1" t="inlineStr">
        <is>
          <t>Notes</t>
        </is>
      </c>
    </row>
    <row r="2">
      <c r="A2" s="2" t="inlineStr">
        <is>
          <t>Prior releases (host + 10 features + quality/docs/CI/release infra, through v2.5.0)</t>
        </is>
      </c>
      <c r="B2" s="2" t="inlineStr">
        <is>
          <t>2026-06-19..10-30</t>
        </is>
      </c>
      <c r="C2" s="2" t="inlineStr">
        <is>
          <t>Opus (multi-session)</t>
        </is>
      </c>
      <c r="D2" s="2" t="n"/>
      <c r="E2" s="2" t="n"/>
      <c r="F2" s="2" t="n"/>
      <c r="G2" s="2" t="n">
        <v>12.33</v>
      </c>
      <c r="H2" s="10" t="n">
        <v>3161764</v>
      </c>
      <c r="I2" s="4" t="n"/>
      <c r="J2" s="4" t="n"/>
      <c r="K2" s="4" t="n">
        <v>126.7</v>
      </c>
      <c r="L2" s="4" t="n"/>
      <c r="M2" s="4">
        <f>IF(ISNUMBER(L2),L2-K2,"pending /cost")</f>
        <v/>
      </c>
      <c r="N2" s="2" t="n"/>
      <c r="O2" s="2" t="n">
        <v>1162</v>
      </c>
      <c r="P2" s="2" t="n"/>
      <c r="Q2" s="4" t="n">
        <v>10.28</v>
      </c>
      <c r="R2" s="2" t="inlineStr">
        <is>
          <t>Phases 1-17 predate DevEconomics tracking (rough estimate); includes the tracked v2.1.0-v2.5.0 releases.</t>
        </is>
      </c>
    </row>
    <row r="3">
      <c r="A3" s="2" t="inlineStr">
        <is>
          <t>Similar Videos (+ shared helper kit)</t>
        </is>
      </c>
      <c r="B3" s="2" t="inlineStr">
        <is>
          <t>2026-10-31</t>
        </is>
      </c>
      <c r="C3" s="2" t="inlineStr">
        <is>
          <t>Opus 5.5</t>
        </is>
      </c>
      <c r="D3" s="2" t="n">
        <v>22</v>
      </c>
      <c r="E3" s="2" t="n">
        <v>14</v>
      </c>
      <c r="F3" s="2" t="n">
        <v>8</v>
      </c>
      <c r="G3" s="2" t="n">
        <v>2.6</v>
      </c>
      <c r="H3" s="10" t="n">
        <v>231000</v>
      </c>
      <c r="I3" s="4" t="n">
        <v>8.82</v>
      </c>
      <c r="J3" s="4" t="n">
        <v>22</v>
      </c>
      <c r="K3" s="4" t="n">
        <v>30.82</v>
      </c>
      <c r="L3" s="4" t="n"/>
      <c r="M3" s="4">
        <f>IF(ISNUMBER(L3),L3-K3,"pending /cost")</f>
        <v/>
      </c>
      <c r="N3" s="2" t="n">
        <v>7.3</v>
      </c>
      <c r="O3" s="2" t="n">
        <v>130.3</v>
      </c>
      <c r="P3" s="2" t="n"/>
      <c r="Q3" s="4" t="n">
        <v>11.85</v>
      </c>
      <c r="R3" s="2" t="inlineStr">
        <is>
          <t>Estimate; reconcile ACTUAL via /cost. Phase 3 of the Storage Studio plan, own plugin, plus the ENH-12 helper kit; single session.</t>
        </is>
      </c>
    </row>
    <row r="4">
      <c r="A4" s="11" t="inlineStr">
        <is>
          <t>APP TOTAL (est)</t>
        </is>
      </c>
      <c r="B4" s="11" t="inlineStr"/>
      <c r="C4" s="11" t="inlineStr"/>
      <c r="D4" s="11" t="n"/>
      <c r="E4" s="11" t="n"/>
      <c r="F4" s="11" t="n"/>
      <c r="G4" s="11">
        <f>SUM(G2:G3)</f>
        <v/>
      </c>
      <c r="H4" s="12">
        <f>SUM(H2:H3)</f>
        <v/>
      </c>
      <c r="I4" s="13" t="n"/>
      <c r="J4" s="13" t="n"/>
      <c r="K4" s="13">
        <f>SUM(K2:K3)</f>
        <v/>
      </c>
      <c r="L4" s="13">
        <f>IF(COUNT(L2:L3)&gt;0,SUM(L2:L3),"")</f>
        <v/>
      </c>
      <c r="M4" s="13">
        <f>IF(ISNUMBER(L4),L4-K4,"pending /cost")</f>
        <v/>
      </c>
      <c r="N4" s="11" t="n"/>
      <c r="O4" s="11">
        <f>SUM(O2:O3)</f>
        <v/>
      </c>
      <c r="P4" s="11">
        <f>IF(COUNT(P2:P3)&gt;0,SUM(P2:P3),"")</f>
        <v/>
      </c>
      <c r="Q4" s="13">
        <f>IF(G4&gt;0,ROUND(K4/G4,2),"")</f>
        <v/>
      </c>
      <c r="R4" s="11" t="inlineStr">
        <is>
          <t>Whole-app development to date (foundation + tracked features).</t>
        </is>
      </c>
    </row>
  </sheetData>
  <autoFilter ref="A1:R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DevEconomics trend - estimate vs actual per feature</t>
        </is>
      </c>
    </row>
    <row r="2">
      <c r="A2" s="15" t="inlineStr">
        <is>
          <t>AUTO-GENERATED by tools/docgen/build_deveconomics.py - do NOT edit this workbook by hand. Edit the script's data tables and run: python tools/docgen/build_deveconomics.py</t>
        </is>
      </c>
    </row>
    <row r="4">
      <c r="A4" s="16" t="inlineStr">
        <is>
          <t>As features accumulate, each row in 'Feature Summary' adds a point here. The chart compares estimated vs actual cost so the estimate error trends toward zero. Fill the ACTUAL columns from /cost after each feature, then re-run the generator.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7" t="inlineStr">
        <is>
          <t>DigitalSecretary - DevEconomics workbook</t>
        </is>
      </c>
    </row>
    <row r="2">
      <c r="A2" s="15" t="inlineStr">
        <is>
          <t>AUTO-GENERATED by tools/docgen/build_deveconomics.py - do NOT edit this workbook by hand. Edit the script's data tables and run: python tools/docgen/build_deveconomics.py</t>
        </is>
      </c>
    </row>
    <row r="3">
      <c r="A3" s="18" t="inlineStr">
        <is>
          <t>Purpose</t>
        </is>
      </c>
      <c r="B3" s="18" t="inlineStr">
        <is>
          <t>Per-activity cost + time ledger for codeless development, with per-feature estimate-vs-actual tracking and a trend chart.</t>
        </is>
      </c>
    </row>
    <row r="4">
      <c r="A4" s="18" t="inlineStr">
        <is>
          <t>Cost buckets</t>
        </is>
      </c>
      <c r="B4" s="18" t="inlineStr">
        <is>
          <t>A = LLM tokens (the only metered cost); B = local compute ($0 tokens); C = remote/network ($0 tokens).</t>
        </is>
      </c>
    </row>
    <row r="5">
      <c r="A5" s="18" t="inlineStr">
        <is>
          <t>Rate card (Opus 4.8, $/1M tok)</t>
        </is>
      </c>
      <c r="B5" s="18" t="inlineStr">
        <is>
          <t>input 5.0, output 25.0, cache-read 0.5, cache-write 6.25.</t>
        </is>
      </c>
    </row>
    <row r="6">
      <c r="A6" s="18" t="inlineStr">
        <is>
          <t>Truth &amp; estimates</t>
        </is>
      </c>
      <c r="B6" s="18" t="inlineStr">
        <is>
          <t>Token/cost for LLM rows are ESTIMATES (the model can't read its own meter). Local times are MEASURED from command output where captured. Per-feature ACTUAL cost comes from /cost (Claude Code) or the Anthropic Console - fill columns L/P in Feature Summary, then re-run.</t>
        </is>
      </c>
    </row>
    <row r="7">
      <c r="A7" s="18" t="inlineStr">
        <is>
          <t>This release</t>
        </is>
      </c>
      <c r="B7" s="18" t="inlineStr">
        <is>
          <t>22 activities (14 LLM / 8 local|remote); ~$30.82 est; ~130.3 min est (~7.3 min measured local compute).</t>
        </is>
      </c>
    </row>
    <row r="8">
      <c r="A8" s="18" t="inlineStr">
        <is>
          <t>Whole app to date (est)</t>
        </is>
      </c>
      <c r="B8" s="18" t="inlineStr">
        <is>
          <t>~14.93 prod KLOC; ~$157.52 est; ~21.5 h est. Foundation portion is a ROUGH pre-tracking estimate.</t>
        </is>
      </c>
    </row>
    <row r="9">
      <c r="A9" s="18" t="inlineStr">
        <is>
          <t>Regenerate</t>
        </is>
      </c>
      <c r="B9" s="18" t="inlineStr">
        <is>
          <t>python tools/docgen/build_deveconomics.py</t>
        </is>
      </c>
    </row>
    <row r="10">
      <c r="A10" s="18" t="inlineStr">
        <is>
          <t>Companion</t>
        </is>
      </c>
      <c r="B10" s="18" t="inlineStr">
        <is>
          <t>docs/DEVECONOMICS.md (narrative + improvement levers); docs/DEVELOPMENT_JOURNAL.md (what/why).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2026-10-31T09:57:24Z</dcterms:created>
  <dcterms:modified xmlns:dcterms="http://purl.org/dc/terms/" xmlns:xsi="http://www.w3.org/2001/XMLSchema-instance" xsi:type="dcterms:W3CDTF">2026-10-31T09:57:24Z</dcterms:modified>
</cp:coreProperties>
</file>