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y Log" sheetId="1" state="visible" r:id="rId1"/>
    <sheet xmlns:r="http://schemas.openxmlformats.org/officeDocument/2006/relationships" name="Feature Summary" sheetId="2" state="visible" r:id="rId2"/>
    <sheet xmlns:r="http://schemas.openxmlformats.org/officeDocument/2006/relationships" name="Trend" sheetId="3" state="visible" r:id="rId3"/>
    <sheet xmlns:r="http://schemas.openxmlformats.org/officeDocument/2006/relationships" name="ReadMe" sheetId="4" state="visible" r:id="rId4"/>
  </sheets>
  <definedNames>
    <definedName name="_xlnm._FilterDatabase" localSheetId="0" hidden="1">'Activity Log'!$A$1:$K$1</definedName>
    <definedName name="_xlnm._FilterDatabase" localSheetId="1" hidden="1">'Feature Summary'!$A$1:$R$1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color rgb="00C00000"/>
      <sz val="1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3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scope: EST vs ACTUAL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Summary'!$K$2:$K$3</f>
            </numRef>
          </val>
        </ser>
        <ser>
          <idx val="1"/>
          <order val="1"/>
          <tx>
            <strRef>
              <f>'Feature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 per scope: EST vs ACTUAL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Summary'!O1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Summary'!$O$2:$O$3</f>
            </numRef>
          </val>
        </ser>
        <ser>
          <idx val="1"/>
          <order val="1"/>
          <tx>
            <strRef>
              <f>'Feature Summary'!P1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Summary'!$P$2:$P$3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comments/comment2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2" customWidth="1" min="3" max="3"/>
    <col width="20" customWidth="1" min="4" max="4"/>
    <col width="20" customWidth="1" min="5" max="5"/>
    <col width="6" customWidth="1" min="6" max="6"/>
    <col width="11" customWidth="1" min="7" max="7"/>
    <col width="13" customWidth="1" min="8" max="8"/>
    <col width="10" customWidth="1" min="9" max="9"/>
    <col width="11" customWidth="1" min="10" max="10"/>
    <col width="26" customWidth="1" min="11" max="11"/>
  </cols>
  <sheetData>
    <row r="1" ht="28" customHeight="1">
      <c r="A1" s="1" t="inlineStr">
        <is>
          <t>#</t>
        </is>
      </c>
      <c r="B1" s="1" t="inlineStr">
        <is>
          <t>Phase</t>
        </is>
      </c>
      <c r="C1" s="1" t="inlineStr">
        <is>
          <t>Activity</t>
        </is>
      </c>
      <c r="D1" s="1" t="inlineStr">
        <is>
          <t>Bucket</t>
        </is>
      </c>
      <c r="E1" s="1" t="inlineStr">
        <is>
          <t>Tool / Method</t>
        </is>
      </c>
      <c r="F1" s="1" t="inlineStr">
        <is>
          <t>LLM?</t>
        </is>
      </c>
      <c r="G1" s="1" t="inlineStr">
        <is>
          <t>Est. Tokens</t>
        </is>
      </c>
      <c r="H1" s="1" t="inlineStr">
        <is>
          <t>Est. Cost (USD)</t>
        </is>
      </c>
      <c r="I1" s="1" t="inlineStr">
        <is>
          <t>Time (min)</t>
        </is>
      </c>
      <c r="J1" s="1" t="inlineStr">
        <is>
          <t>Time Basis</t>
        </is>
      </c>
      <c r="K1" s="1" t="inlineStr">
        <is>
          <t>Notes</t>
        </is>
      </c>
    </row>
    <row r="2">
      <c r="A2" s="2" t="n">
        <v>1</v>
      </c>
      <c r="B2" s="2" t="inlineStr">
        <is>
          <t>Explore</t>
        </is>
      </c>
      <c r="C2" s="2" t="inlineStr">
        <is>
          <t>Review project status after 4 months idle: CLAUDE.md, contract, a reference feature, docgen gates, tests, build.ps1</t>
        </is>
      </c>
      <c r="D2" s="3" t="inlineStr">
        <is>
          <t>A - LLM tokens</t>
        </is>
      </c>
      <c r="E2" s="2" t="inlineStr">
        <is>
          <t>Read</t>
        </is>
      </c>
      <c r="F2" s="2" t="inlineStr">
        <is>
          <t>Yes</t>
        </is>
      </c>
      <c r="G2" s="2" t="n">
        <v>46000</v>
      </c>
      <c r="H2" s="4" t="n">
        <v>0.5</v>
      </c>
      <c r="I2" s="5" t="n">
        <v>9</v>
      </c>
      <c r="J2" s="2" t="inlineStr">
        <is>
          <t>estimate</t>
        </is>
      </c>
      <c r="K2" s="2" t="inlineStr">
        <is>
          <t>one-time re-orientation</t>
        </is>
      </c>
    </row>
    <row r="3">
      <c r="A3" s="2" t="n">
        <v>2</v>
      </c>
      <c r="B3" s="2" t="inlineStr">
        <is>
          <t>Setup</t>
        </is>
      </c>
      <c r="C3" s="2" t="inlineStr">
        <is>
          <t>Verify dotnet 9 SDK + python/openpyxl</t>
        </is>
      </c>
      <c r="D3" s="6" t="inlineStr">
        <is>
          <t>B - Local ($0)</t>
        </is>
      </c>
      <c r="E3" s="2" t="inlineStr">
        <is>
          <t>Bash</t>
        </is>
      </c>
      <c r="F3" s="2" t="inlineStr">
        <is>
          <t>No</t>
        </is>
      </c>
      <c r="G3" s="2" t="n"/>
      <c r="H3" s="4" t="n">
        <v>0</v>
      </c>
      <c r="I3" s="5" t="n">
        <v>0.1</v>
      </c>
      <c r="J3" s="2" t="inlineStr">
        <is>
          <t>measured</t>
        </is>
      </c>
      <c r="K3" s="2" t="inlineStr"/>
    </row>
    <row r="4">
      <c r="A4" s="2" t="n">
        <v>3</v>
      </c>
      <c r="B4" s="2" t="inlineStr">
        <is>
          <t>Requirements</t>
        </is>
      </c>
      <c r="C4" s="2" t="inlineStr">
        <is>
          <t>Draft the canonical spec: 19 DDF requirements + 15 traceability rows from the user's brief</t>
        </is>
      </c>
      <c r="D4" s="3" t="inlineStr">
        <is>
          <t>A - LLM tokens</t>
        </is>
      </c>
      <c r="E4" s="2" t="inlineStr">
        <is>
          <t>Write</t>
        </is>
      </c>
      <c r="F4" s="2" t="inlineStr">
        <is>
          <t>Yes</t>
        </is>
      </c>
      <c r="G4" s="2" t="n">
        <v>11000</v>
      </c>
      <c r="H4" s="4" t="n">
        <v>0.45</v>
      </c>
      <c r="I4" s="5" t="n">
        <v>7</v>
      </c>
      <c r="J4" s="2" t="inlineStr">
        <is>
          <t>estimate</t>
        </is>
      </c>
      <c r="K4" s="2" t="inlineStr">
        <is>
          <t>reused verbatim by 2 subagents</t>
        </is>
      </c>
    </row>
    <row r="5">
      <c r="A5" s="2" t="n">
        <v>4</v>
      </c>
      <c r="B5" s="2" t="inlineStr">
        <is>
          <t>Build</t>
        </is>
      </c>
      <c r="C5" s="2" t="inlineStr">
        <is>
          <t>Author the pure core: checksum entry/list/index, MD5 hasher, byte comparer, pause gate, hex, sizes</t>
        </is>
      </c>
      <c r="D5" s="3" t="inlineStr">
        <is>
          <t>A - LLM tokens</t>
        </is>
      </c>
      <c r="E5" s="2" t="inlineStr">
        <is>
          <t>Write</t>
        </is>
      </c>
      <c r="F5" s="2" t="inlineStr">
        <is>
          <t>Yes</t>
        </is>
      </c>
      <c r="G5" s="2" t="n">
        <v>13000</v>
      </c>
      <c r="H5" s="4" t="n">
        <v>0.5</v>
      </c>
      <c r="I5" s="5" t="n">
        <v>8</v>
      </c>
      <c r="J5" s="2" t="inlineStr">
        <is>
          <t>estimate</t>
        </is>
      </c>
      <c r="K5" s="2" t="inlineStr">
        <is>
          <t>logic kept out of the UI</t>
        </is>
      </c>
    </row>
    <row r="6">
      <c r="A6" s="2" t="n">
        <v>5</v>
      </c>
      <c r="B6" s="2" t="inlineStr">
        <is>
          <t>Build</t>
        </is>
      </c>
      <c r="C6" s="2" t="inlineStr">
        <is>
          <t>Author ScanEngine (incremental walk, autosave, prune) + DuplicateAnalyzer (groups, keeper policy)</t>
        </is>
      </c>
      <c r="D6" s="3" t="inlineStr">
        <is>
          <t>A - LLM tokens</t>
        </is>
      </c>
      <c r="E6" s="2" t="inlineStr">
        <is>
          <t>Write</t>
        </is>
      </c>
      <c r="F6" s="2" t="inlineStr">
        <is>
          <t>Yes</t>
        </is>
      </c>
      <c r="G6" s="2" t="n">
        <v>11000</v>
      </c>
      <c r="H6" s="4" t="n">
        <v>0.42</v>
      </c>
      <c r="I6" s="5" t="n">
        <v>7</v>
      </c>
      <c r="J6" s="2" t="inlineStr">
        <is>
          <t>estimate</t>
        </is>
      </c>
      <c r="K6" s="2" t="inlineStr"/>
    </row>
    <row r="7">
      <c r="A7" s="2" t="n">
        <v>6</v>
      </c>
      <c r="B7" s="2" t="inlineStr">
        <is>
          <t>Build</t>
        </is>
      </c>
      <c r="C7" s="2" t="inlineStr">
        <is>
          <t>Author DeleteEngine + deleters + report text + settings store + existing-list prompt</t>
        </is>
      </c>
      <c r="D7" s="3" t="inlineStr">
        <is>
          <t>A - LLM tokens</t>
        </is>
      </c>
      <c r="E7" s="2" t="inlineStr">
        <is>
          <t>Write</t>
        </is>
      </c>
      <c r="F7" s="2" t="inlineStr">
        <is>
          <t>Yes</t>
        </is>
      </c>
      <c r="G7" s="2" t="n">
        <v>11000</v>
      </c>
      <c r="H7" s="4" t="n">
        <v>0.42</v>
      </c>
      <c r="I7" s="5" t="n">
        <v>7</v>
      </c>
      <c r="J7" s="2" t="inlineStr">
        <is>
          <t>estimate</t>
        </is>
      </c>
      <c r="K7" s="2" t="inlineStr">
        <is>
          <t>guarded deletion</t>
        </is>
      </c>
    </row>
    <row r="8">
      <c r="A8" s="2" t="n">
        <v>7</v>
      </c>
      <c r="B8" s="2" t="inlineStr">
        <is>
          <t>Build</t>
        </is>
      </c>
      <c r="C8" s="2" t="inlineStr">
        <is>
          <t>Author the WinForms view (folder, options, commands, progress, duplicate grid, log)</t>
        </is>
      </c>
      <c r="D8" s="3" t="inlineStr">
        <is>
          <t>A - LLM tokens</t>
        </is>
      </c>
      <c r="E8" s="2" t="inlineStr">
        <is>
          <t>Write</t>
        </is>
      </c>
      <c r="F8" s="2" t="inlineStr">
        <is>
          <t>Yes</t>
        </is>
      </c>
      <c r="G8" s="2" t="n">
        <v>9000</v>
      </c>
      <c r="H8" s="4" t="n">
        <v>0.35</v>
      </c>
      <c r="I8" s="5" t="n">
        <v>6</v>
      </c>
      <c r="J8" s="2" t="inlineStr">
        <is>
          <t>estimate</t>
        </is>
      </c>
      <c r="K8" s="2" t="inlineStr"/>
    </row>
    <row r="9">
      <c r="A9" s="2" t="n">
        <v>8</v>
      </c>
      <c r="B9" s="2" t="inlineStr">
        <is>
          <t>Build</t>
        </is>
      </c>
      <c r="C9" s="2" t="inlineStr">
        <is>
          <t>Clear 4 CA1859 warnings; match button labels to the manual; confirm-dialog default; log-pane layout</t>
        </is>
      </c>
      <c r="D9" s="3" t="inlineStr">
        <is>
          <t>A - LLM tokens</t>
        </is>
      </c>
      <c r="E9" s="2" t="inlineStr">
        <is>
          <t>Edit</t>
        </is>
      </c>
      <c r="F9" s="2" t="inlineStr">
        <is>
          <t>Yes</t>
        </is>
      </c>
      <c r="G9" s="2" t="n">
        <v>3000</v>
      </c>
      <c r="H9" s="4" t="n">
        <v>0.1</v>
      </c>
      <c r="I9" s="5" t="n">
        <v>2</v>
      </c>
      <c r="J9" s="2" t="inlineStr">
        <is>
          <t>estimate</t>
        </is>
      </c>
      <c r="K9" s="2" t="inlineStr">
        <is>
          <t>layout fault seen in the screenshot</t>
        </is>
      </c>
    </row>
    <row r="10">
      <c r="A10" s="2" t="n">
        <v>9</v>
      </c>
      <c r="B10" s="2" t="inlineStr">
        <is>
          <t>Build</t>
        </is>
      </c>
      <c r="C10" s="2" t="inlineStr">
        <is>
          <t>Compile the feature (0 warnings)</t>
        </is>
      </c>
      <c r="D10" s="6" t="inlineStr">
        <is>
          <t>B - Local ($0)</t>
        </is>
      </c>
      <c r="E10" s="2" t="inlineStr">
        <is>
          <t>dotnet build</t>
        </is>
      </c>
      <c r="F10" s="2" t="inlineStr">
        <is>
          <t>No</t>
        </is>
      </c>
      <c r="G10" s="2" t="n"/>
      <c r="H10" s="4" t="n">
        <v>0</v>
      </c>
      <c r="I10" s="5" t="n">
        <v>0.55</v>
      </c>
      <c r="J10" s="2" t="inlineStr">
        <is>
          <t>measured</t>
        </is>
      </c>
      <c r="K10" s="2" t="inlineStr">
        <is>
          <t>29s then 3s</t>
        </is>
      </c>
    </row>
    <row r="11">
      <c r="A11" s="2" t="n">
        <v>10</v>
      </c>
      <c r="B11" s="2" t="inlineStr">
        <is>
          <t>Build</t>
        </is>
      </c>
      <c r="C11" s="2" t="inlineStr">
        <is>
          <t>Add project to sln + unit-test reference + coverage exclusion</t>
        </is>
      </c>
      <c r="D11" s="6" t="inlineStr">
        <is>
          <t>B - Local ($0)</t>
        </is>
      </c>
      <c r="E11" s="2" t="inlineStr">
        <is>
          <t>dotnet sln / python</t>
        </is>
      </c>
      <c r="F11" s="2" t="inlineStr">
        <is>
          <t>No</t>
        </is>
      </c>
      <c r="G11" s="2" t="n"/>
      <c r="H11" s="4" t="n">
        <v>0</v>
      </c>
      <c r="I11" s="5" t="n">
        <v>0.2</v>
      </c>
      <c r="J11" s="2" t="inlineStr">
        <is>
          <t>measured</t>
        </is>
      </c>
      <c r="K11" s="2" t="inlineStr"/>
    </row>
    <row r="12">
      <c r="A12" s="2" t="n">
        <v>11</v>
      </c>
      <c r="B12" s="2" t="inlineStr">
        <is>
          <t>Docs (agent)</t>
        </is>
      </c>
      <c r="C12" s="2" t="inlineStr">
        <is>
          <t>Subagent in parallel: requirements doc, user guide, README row, Pages card</t>
        </is>
      </c>
      <c r="D12" s="3" t="inlineStr">
        <is>
          <t>A - LLM tokens</t>
        </is>
      </c>
      <c r="E12" s="2" t="inlineStr">
        <is>
          <t>Agent</t>
        </is>
      </c>
      <c r="F12" s="2" t="inlineStr">
        <is>
          <t>Yes</t>
        </is>
      </c>
      <c r="G12" s="2" t="n">
        <v>83554</v>
      </c>
      <c r="H12" s="4" t="n">
        <v>0.95</v>
      </c>
      <c r="I12" s="5" t="n">
        <v>1.3</v>
      </c>
      <c r="J12" s="2" t="inlineStr">
        <is>
          <t>measured</t>
        </is>
      </c>
      <c r="K12" s="2" t="inlineStr">
        <is>
          <t>tokens + duration from the harness</t>
        </is>
      </c>
    </row>
    <row r="13">
      <c r="A13" s="2" t="n">
        <v>12</v>
      </c>
      <c r="B13" s="2" t="inlineStr">
        <is>
          <t>Docgen (agent)</t>
        </is>
      </c>
      <c r="C13" s="2" t="inlineStr">
        <is>
          <t>Subagent in parallel: 19 req + 15 trace rows, id regex, manual section, DocShots seed, regenerate xlsx</t>
        </is>
      </c>
      <c r="D13" s="3" t="inlineStr">
        <is>
          <t>A - LLM tokens</t>
        </is>
      </c>
      <c r="E13" s="2" t="inlineStr">
        <is>
          <t>Agent</t>
        </is>
      </c>
      <c r="F13" s="2" t="inlineStr">
        <is>
          <t>Yes</t>
        </is>
      </c>
      <c r="G13" s="2" t="n">
        <v>93143</v>
      </c>
      <c r="H13" s="4" t="n">
        <v>1.05</v>
      </c>
      <c r="I13" s="5" t="n">
        <v>2.1</v>
      </c>
      <c r="J13" s="2" t="inlineStr">
        <is>
          <t>measured</t>
        </is>
      </c>
      <c r="K13" s="2" t="inlineStr">
        <is>
          <t>tokens + duration from the harness</t>
        </is>
      </c>
    </row>
    <row r="14">
      <c r="A14" s="2" t="n">
        <v>13</v>
      </c>
      <c r="B14" s="2" t="inlineStr">
        <is>
          <t>Tests (agent)</t>
        </is>
      </c>
      <c r="C14" s="2" t="inlineStr">
        <is>
          <t>Subagent: 12 unit-test files (144 tests) + QA id list, iterated to green</t>
        </is>
      </c>
      <c r="D14" s="3" t="inlineStr">
        <is>
          <t>A - LLM tokens</t>
        </is>
      </c>
      <c r="E14" s="2" t="inlineStr">
        <is>
          <t>Agent</t>
        </is>
      </c>
      <c r="F14" s="2" t="inlineStr">
        <is>
          <t>Yes</t>
        </is>
      </c>
      <c r="G14" s="2" t="n">
        <v>171867</v>
      </c>
      <c r="H14" s="4" t="n">
        <v>1.95</v>
      </c>
      <c r="I14" s="5" t="n">
        <v>14.3</v>
      </c>
      <c r="J14" s="2" t="inlineStr">
        <is>
          <t>measured</t>
        </is>
      </c>
      <c r="K14" s="2" t="inlineStr">
        <is>
          <t>tokens + duration from the harness</t>
        </is>
      </c>
    </row>
    <row r="15">
      <c r="A15" s="2" t="n">
        <v>14</v>
      </c>
      <c r="B15" s="2" t="inlineStr">
        <is>
          <t>Docs</t>
        </is>
      </c>
      <c r="C15" s="2" t="inlineStr">
        <is>
          <t>Author FEATURE.md (design decisions + file map)</t>
        </is>
      </c>
      <c r="D15" s="3" t="inlineStr">
        <is>
          <t>A - LLM tokens</t>
        </is>
      </c>
      <c r="E15" s="2" t="inlineStr">
        <is>
          <t>Write</t>
        </is>
      </c>
      <c r="F15" s="2" t="inlineStr">
        <is>
          <t>Yes</t>
        </is>
      </c>
      <c r="G15" s="2" t="n">
        <v>4500</v>
      </c>
      <c r="H15" s="4" t="n">
        <v>0.17</v>
      </c>
      <c r="I15" s="5" t="n">
        <v>3</v>
      </c>
      <c r="J15" s="2" t="inlineStr">
        <is>
          <t>estimate</t>
        </is>
      </c>
      <c r="K15" s="2" t="inlineStr"/>
    </row>
    <row r="16">
      <c r="A16" s="2" t="n">
        <v>15</v>
      </c>
      <c r="B16" s="2" t="inlineStr">
        <is>
          <t>Review</t>
        </is>
      </c>
      <c r="C16" s="2" t="inlineStr">
        <is>
          <t>Read back the subagents' docs, manual section and tests; align UI labels with the guide</t>
        </is>
      </c>
      <c r="D16" s="3" t="inlineStr">
        <is>
          <t>A - LLM tokens</t>
        </is>
      </c>
      <c r="E16" s="2" t="inlineStr">
        <is>
          <t>Read</t>
        </is>
      </c>
      <c r="F16" s="2" t="inlineStr">
        <is>
          <t>Yes</t>
        </is>
      </c>
      <c r="G16" s="2" t="n">
        <v>12000</v>
      </c>
      <c r="H16" s="4" t="n">
        <v>0.3</v>
      </c>
      <c r="I16" s="5" t="n">
        <v>5</v>
      </c>
      <c r="J16" s="2" t="inlineStr">
        <is>
          <t>estimate</t>
        </is>
      </c>
      <c r="K16" s="2" t="inlineStr">
        <is>
          <t>delegated work is verified, not trusted</t>
        </is>
      </c>
    </row>
    <row r="17">
      <c r="A17" s="2" t="n">
        <v>16</v>
      </c>
      <c r="B17" s="2" t="inlineStr">
        <is>
          <t>Bugfix</t>
        </is>
      </c>
      <c r="C17" s="2" t="inlineStr">
        <is>
          <t>Diagnose + fix prune-on-cancel (S2) found by the test agent; add the regression test</t>
        </is>
      </c>
      <c r="D17" s="3" t="inlineStr">
        <is>
          <t>A - LLM tokens</t>
        </is>
      </c>
      <c r="E17" s="2" t="inlineStr">
        <is>
          <t>Edit</t>
        </is>
      </c>
      <c r="F17" s="2" t="inlineStr">
        <is>
          <t>Yes</t>
        </is>
      </c>
      <c r="G17" s="2" t="n">
        <v>5000</v>
      </c>
      <c r="H17" s="4" t="n">
        <v>0.18</v>
      </c>
      <c r="I17" s="5" t="n">
        <v>4</v>
      </c>
      <c r="J17" s="2" t="inlineStr">
        <is>
          <t>estimate</t>
        </is>
      </c>
      <c r="K17" s="2" t="inlineStr">
        <is>
          <t>BUG-1; see KNOWN pitfalls</t>
        </is>
      </c>
    </row>
    <row r="18">
      <c r="A18" s="2" t="n">
        <v>17</v>
      </c>
      <c r="B18" s="2" t="inlineStr">
        <is>
          <t>Bugfix</t>
        </is>
      </c>
      <c r="C18" s="2" t="inlineStr">
        <is>
          <t>Prove the regression test fails before the fix and passes after</t>
        </is>
      </c>
      <c r="D18" s="6" t="inlineStr">
        <is>
          <t>B - Local ($0)</t>
        </is>
      </c>
      <c r="E18" s="2" t="inlineStr">
        <is>
          <t>dotnet build/test</t>
        </is>
      </c>
      <c r="F18" s="2" t="inlineStr">
        <is>
          <t>No</t>
        </is>
      </c>
      <c r="G18" s="2" t="n"/>
      <c r="H18" s="4" t="n">
        <v>0</v>
      </c>
      <c r="I18" s="5" t="n">
        <v>0.6</v>
      </c>
      <c r="J18" s="2" t="inlineStr">
        <is>
          <t>measured</t>
        </is>
      </c>
      <c r="K18" s="2" t="inlineStr">
        <is>
          <t>revert -&gt; fail -&gt; restore -&gt; pass</t>
        </is>
      </c>
    </row>
    <row r="19">
      <c r="A19" s="2" t="n">
        <v>18</v>
      </c>
      <c r="B19" s="2" t="inlineStr">
        <is>
          <t>Tests</t>
        </is>
      </c>
      <c r="C19" s="2" t="inlineStr">
        <is>
          <t>Solution builds + unit-test runs (316 tests)</t>
        </is>
      </c>
      <c r="D19" s="6" t="inlineStr">
        <is>
          <t>B - Local ($0)</t>
        </is>
      </c>
      <c r="E19" s="2" t="inlineStr">
        <is>
          <t>dotnet build/test</t>
        </is>
      </c>
      <c r="F19" s="2" t="inlineStr">
        <is>
          <t>No</t>
        </is>
      </c>
      <c r="G19" s="2" t="n"/>
      <c r="H19" s="4" t="n">
        <v>0</v>
      </c>
      <c r="I19" s="5" t="n">
        <v>0.5</v>
      </c>
      <c r="J19" s="2" t="inlineStr">
        <is>
          <t>measured</t>
        </is>
      </c>
      <c r="K19" s="2" t="inlineStr">
        <is>
          <t>0.7s per run</t>
        </is>
      </c>
    </row>
    <row r="20">
      <c r="A20" s="2" t="n">
        <v>19</v>
      </c>
      <c r="B20" s="2" t="inlineStr">
        <is>
          <t>Docgen</t>
        </is>
      </c>
      <c r="C20" s="2" t="inlineStr">
        <is>
          <t>Regenerate DocShots screenshots + HTML user manual (twice, after the layout fix)</t>
        </is>
      </c>
      <c r="D20" s="6" t="inlineStr">
        <is>
          <t>B - Local ($0)</t>
        </is>
      </c>
      <c r="E20" s="2" t="inlineStr">
        <is>
          <t>dotnet run + powershell</t>
        </is>
      </c>
      <c r="F20" s="2" t="inlineStr">
        <is>
          <t>No</t>
        </is>
      </c>
      <c r="G20" s="2" t="n"/>
      <c r="H20" s="4" t="n">
        <v>0</v>
      </c>
      <c r="I20" s="5" t="n">
        <v>0.65</v>
      </c>
      <c r="J20" s="2" t="inlineStr">
        <is>
          <t>measured</t>
        </is>
      </c>
      <c r="K20" s="2" t="inlineStr">
        <is>
          <t>cleanliness check PASSED</t>
        </is>
      </c>
    </row>
    <row r="21">
      <c r="A21" s="2" t="n">
        <v>20</v>
      </c>
      <c r="B21" s="2" t="inlineStr">
        <is>
          <t>Gate</t>
        </is>
      </c>
      <c r="C21" s="2" t="inlineStr">
        <is>
          <t>Full quality gate</t>
        </is>
      </c>
      <c r="D21" s="6" t="inlineStr">
        <is>
          <t>B - Local ($0)</t>
        </is>
      </c>
      <c r="E21" s="2" t="inlineStr">
        <is>
          <t>build.ps1 -All</t>
        </is>
      </c>
      <c r="F21" s="2" t="inlineStr">
        <is>
          <t>No</t>
        </is>
      </c>
      <c r="G21" s="2" t="n"/>
      <c r="H21" s="4" t="n">
        <v>0</v>
      </c>
      <c r="I21" s="5" t="n">
        <v>0.63</v>
      </c>
      <c r="J21" s="2" t="inlineStr">
        <is>
          <t>measured</t>
        </is>
      </c>
      <c r="K21" s="2" t="inlineStr">
        <is>
          <t>PASS, 92.2%, 316+21 tests</t>
        </is>
      </c>
    </row>
    <row r="22">
      <c r="A22" s="2" t="n">
        <v>21</v>
      </c>
      <c r="B22" s="2" t="inlineStr">
        <is>
          <t>Gate</t>
        </is>
      </c>
      <c r="C22" s="2" t="inlineStr">
        <is>
          <t>Storage report</t>
        </is>
      </c>
      <c r="D22" s="6" t="inlineStr">
        <is>
          <t>B - Local ($0)</t>
        </is>
      </c>
      <c r="E22" s="2" t="inlineStr">
        <is>
          <t>node storage-report.mjs</t>
        </is>
      </c>
      <c r="F22" s="2" t="inlineStr">
        <is>
          <t>No</t>
        </is>
      </c>
      <c r="G22" s="2" t="n"/>
      <c r="H22" s="4" t="n">
        <v>0</v>
      </c>
      <c r="I22" s="5" t="n">
        <v>0.2</v>
      </c>
      <c r="J22" s="2" t="inlineStr">
        <is>
          <t>measured</t>
        </is>
      </c>
      <c r="K22" s="2" t="inlineStr">
        <is>
          <t>docs/pm/STORAGE.md</t>
        </is>
      </c>
    </row>
    <row r="23">
      <c r="A23" s="2" t="n">
        <v>22</v>
      </c>
      <c r="B23" s="2" t="inlineStr">
        <is>
          <t>Release</t>
        </is>
      </c>
      <c r="C23" s="2" t="inlineStr">
        <is>
          <t>Journal phase, CHANGELOG, DevEconomics, PM trackers (TASKS/WORKLOG/STORAGE)</t>
        </is>
      </c>
      <c r="D23" s="3" t="inlineStr">
        <is>
          <t>A - LLM tokens</t>
        </is>
      </c>
      <c r="E23" s="2" t="inlineStr">
        <is>
          <t>Write/Edit</t>
        </is>
      </c>
      <c r="F23" s="2" t="inlineStr">
        <is>
          <t>Yes</t>
        </is>
      </c>
      <c r="G23" s="2" t="n">
        <v>11000</v>
      </c>
      <c r="H23" s="4" t="n">
        <v>0.4</v>
      </c>
      <c r="I23" s="5" t="n">
        <v>8</v>
      </c>
      <c r="J23" s="2" t="inlineStr">
        <is>
          <t>estimate</t>
        </is>
      </c>
      <c r="K23" s="2" t="inlineStr">
        <is>
          <t>this release entry</t>
        </is>
      </c>
    </row>
    <row r="24">
      <c r="A24" s="2" t="n">
        <v>23</v>
      </c>
      <c r="B24" s="2" t="inlineStr">
        <is>
          <t>Commit</t>
        </is>
      </c>
      <c r="C24" s="2" t="inlineStr">
        <is>
          <t>Stage + commit (pre-commit gate)</t>
        </is>
      </c>
      <c r="D24" s="6" t="inlineStr">
        <is>
          <t>B - Local ($0)</t>
        </is>
      </c>
      <c r="E24" s="2" t="inlineStr">
        <is>
          <t>git commit</t>
        </is>
      </c>
      <c r="F24" s="2" t="inlineStr">
        <is>
          <t>No</t>
        </is>
      </c>
      <c r="G24" s="2" t="n"/>
      <c r="H24" s="4" t="n">
        <v>0</v>
      </c>
      <c r="I24" s="5" t="n">
        <v>0.4</v>
      </c>
      <c r="J24" s="2" t="inlineStr">
        <is>
          <t>measured</t>
        </is>
      </c>
      <c r="K24" s="2" t="inlineStr"/>
    </row>
    <row r="25">
      <c r="A25" s="2" t="n"/>
      <c r="B25" s="2" t="n"/>
      <c r="C25" s="7" t="inlineStr">
        <is>
          <t>TOTAL (direct, sum of activities)</t>
        </is>
      </c>
      <c r="D25" s="2" t="n"/>
      <c r="E25" s="2" t="n"/>
      <c r="F25" s="2" t="n"/>
      <c r="G25" s="7">
        <f>SUM(G2:G24)</f>
        <v/>
      </c>
      <c r="H25" s="8">
        <f>SUM(H2:H24)</f>
        <v/>
      </c>
      <c r="I25" s="9">
        <f>SUM(I2:I24)</f>
        <v/>
      </c>
      <c r="J25" s="2" t="n"/>
      <c r="K25" s="2" t="n"/>
    </row>
  </sheetData>
  <autoFilter ref="A1:K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8" customWidth="1" min="3" max="3"/>
    <col width="9" customWidth="1" min="4" max="4"/>
    <col width="7" customWidth="1" min="5" max="5"/>
    <col width="13" customWidth="1" min="6" max="6"/>
    <col width="9" customWidth="1" min="7" max="7"/>
    <col width="14" customWidth="1" min="8" max="8"/>
    <col width="14" customWidth="1" min="9" max="9"/>
    <col width="16" customWidth="1" min="10" max="10"/>
    <col width="13" customWidth="1" min="11" max="11"/>
    <col width="14" customWidth="1" min="12" max="12"/>
    <col width="13" customWidth="1" min="13" max="13"/>
    <col width="12" customWidth="1" min="14" max="14"/>
    <col width="14" customWidth="1" min="15" max="15"/>
    <col width="15" customWidth="1" min="16" max="16"/>
    <col width="10" customWidth="1" min="17" max="17"/>
    <col width="42" customWidth="1" min="18" max="18"/>
  </cols>
  <sheetData>
    <row r="1" ht="28" customHeight="1">
      <c r="A1" s="1" t="inlineStr">
        <is>
          <t>Feature</t>
        </is>
      </c>
      <c r="B1" s="1" t="inlineStr">
        <is>
          <t>Date</t>
        </is>
      </c>
      <c r="C1" s="1" t="inlineStr">
        <is>
          <t>Model</t>
        </is>
      </c>
      <c r="D1" s="1" t="inlineStr">
        <is>
          <t>Activities</t>
        </is>
      </c>
      <c r="E1" s="1" t="inlineStr">
        <is>
          <t>LLM (A)</t>
        </is>
      </c>
      <c r="F1" s="1" t="inlineStr">
        <is>
          <t>Local/Remote (B/C)</t>
        </is>
      </c>
      <c r="G1" s="1" t="inlineStr">
        <is>
          <t>Prod. KLOC</t>
        </is>
      </c>
      <c r="H1" s="1" t="inlineStr">
        <is>
          <t>Est. tokens (direct)</t>
        </is>
      </c>
      <c r="I1" s="1" t="inlineStr">
        <is>
          <t>Direct LLM cost EST ($)</t>
        </is>
      </c>
      <c r="J1" s="1" t="inlineStr">
        <is>
          <t>Context/cache overhead EST ($)</t>
        </is>
      </c>
      <c r="K1" s="1" t="inlineStr">
        <is>
          <t>Total cost EST ($)</t>
        </is>
      </c>
      <c r="L1" s="1" t="inlineStr">
        <is>
          <t>Total cost ACTUAL ($)</t>
        </is>
      </c>
      <c r="M1" s="1" t="inlineStr">
        <is>
          <t>Cost variance ($)</t>
        </is>
      </c>
      <c r="N1" s="1" t="inlineStr">
        <is>
          <t>Local time (min)</t>
        </is>
      </c>
      <c r="O1" s="1" t="inlineStr">
        <is>
          <t>Total time EST (min)</t>
        </is>
      </c>
      <c r="P1" s="1" t="inlineStr">
        <is>
          <t>Total time ACTUAL (min)</t>
        </is>
      </c>
      <c r="Q1" s="1" t="inlineStr">
        <is>
          <t>$/KLOC EST</t>
        </is>
      </c>
      <c r="R1" s="1" t="inlineStr">
        <is>
          <t>Notes</t>
        </is>
      </c>
    </row>
    <row r="2">
      <c r="A2" s="2" t="inlineStr">
        <is>
          <t>Prior releases (host + 7 features + quality/docs/CI/release infra, through v2.2.0)</t>
        </is>
      </c>
      <c r="B2" s="2" t="inlineStr">
        <is>
          <t>2026-06-19..23</t>
        </is>
      </c>
      <c r="C2" s="2" t="inlineStr">
        <is>
          <t>Opus (multi-session)</t>
        </is>
      </c>
      <c r="D2" s="2" t="n"/>
      <c r="E2" s="2" t="n"/>
      <c r="F2" s="2" t="n"/>
      <c r="G2" s="2" t="n">
        <v>5.23</v>
      </c>
      <c r="H2" s="10" t="n">
        <v>2303700</v>
      </c>
      <c r="I2" s="4" t="n"/>
      <c r="J2" s="4" t="n"/>
      <c r="K2" s="4" t="n">
        <v>71.59999999999999</v>
      </c>
      <c r="L2" s="4" t="n"/>
      <c r="M2" s="4">
        <f>IF(ISNUMBER(L2),L2-K2,"pending /cost")</f>
        <v/>
      </c>
      <c r="N2" s="2" t="n"/>
      <c r="O2" s="2" t="n">
        <v>867.7</v>
      </c>
      <c r="P2" s="2" t="n"/>
      <c r="Q2" s="4" t="n">
        <v>13.69</v>
      </c>
      <c r="R2" s="2" t="inlineStr">
        <is>
          <t>Phases 1-17 predate DevEconomics tracking (rough estimate); includes the tracked v2.1.0 and v2.2.0 releases.</t>
        </is>
      </c>
    </row>
    <row r="3">
      <c r="A3" s="2" t="inlineStr">
        <is>
          <t>DeDupe Files</t>
        </is>
      </c>
      <c r="B3" s="2" t="inlineStr">
        <is>
          <t>2026-10-28</t>
        </is>
      </c>
      <c r="C3" s="2" t="inlineStr">
        <is>
          <t>Opus 5</t>
        </is>
      </c>
      <c r="D3" s="2" t="n">
        <v>23</v>
      </c>
      <c r="E3" s="2" t="n">
        <v>14</v>
      </c>
      <c r="F3" s="2" t="n">
        <v>9</v>
      </c>
      <c r="G3" s="2" t="n">
        <v>2.16</v>
      </c>
      <c r="H3" s="10" t="n">
        <v>485064</v>
      </c>
      <c r="I3" s="4" t="n">
        <v>7.74</v>
      </c>
      <c r="J3" s="4" t="n">
        <v>9</v>
      </c>
      <c r="K3" s="4" t="n">
        <v>16.74</v>
      </c>
      <c r="L3" s="4" t="n"/>
      <c r="M3" s="4">
        <f>IF(ISNUMBER(L3),L3-K3,"pending /cost")</f>
        <v/>
      </c>
      <c r="N3" s="2" t="n">
        <v>3.83</v>
      </c>
      <c r="O3" s="2" t="n">
        <v>87.53</v>
      </c>
      <c r="P3" s="2" t="n"/>
      <c r="Q3" s="4" t="n">
        <v>7.75</v>
      </c>
      <c r="R3" s="2" t="inlineStr">
        <is>
          <t>Estimate; reconcile ACTUAL via /cost. Spans 3 increments (foundation+report, append, tone/life-data/docs, xlsx).</t>
        </is>
      </c>
    </row>
    <row r="4">
      <c r="A4" s="11" t="inlineStr">
        <is>
          <t>APP TOTAL (est)</t>
        </is>
      </c>
      <c r="B4" s="11" t="inlineStr"/>
      <c r="C4" s="11" t="inlineStr"/>
      <c r="D4" s="11" t="n"/>
      <c r="E4" s="11" t="n"/>
      <c r="F4" s="11" t="n"/>
      <c r="G4" s="11">
        <f>SUM(G2:G3)</f>
        <v/>
      </c>
      <c r="H4" s="12">
        <f>SUM(H2:H3)</f>
        <v/>
      </c>
      <c r="I4" s="13" t="n"/>
      <c r="J4" s="13" t="n"/>
      <c r="K4" s="13">
        <f>SUM(K2:K3)</f>
        <v/>
      </c>
      <c r="L4" s="13">
        <f>IF(COUNT(L2:L3)&gt;0,SUM(L2:L3),"")</f>
        <v/>
      </c>
      <c r="M4" s="13">
        <f>IF(ISNUMBER(L4),L4-K4,"pending /cost")</f>
        <v/>
      </c>
      <c r="N4" s="11" t="n"/>
      <c r="O4" s="11">
        <f>SUM(O2:O3)</f>
        <v/>
      </c>
      <c r="P4" s="11">
        <f>IF(COUNT(P2:P3)&gt;0,SUM(P2:P3),"")</f>
        <v/>
      </c>
      <c r="Q4" s="13">
        <f>IF(G4&gt;0,ROUND(K4/G4,2),"")</f>
        <v/>
      </c>
      <c r="R4" s="11" t="inlineStr">
        <is>
          <t>Whole-app development to date (foundation + tracked features).</t>
        </is>
      </c>
    </row>
  </sheetData>
  <autoFilter ref="A1:R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DevEconomics trend - estimate vs actual per feature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4">
      <c r="A4" s="16" t="inlineStr">
        <is>
          <t>As features accumulate, each row in 'Feature Summary' adds a point here. The chart compares estimated vs actual cost so the estimate error trends toward zero. Fill the ACTUAL columns from /cost after each feature, then re-run the generator.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7" t="inlineStr">
        <is>
          <t>DigitalSecretary - DevEconomics workbook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3">
      <c r="A3" s="18" t="inlineStr">
        <is>
          <t>Purpose</t>
        </is>
      </c>
      <c r="B3" s="18" t="inlineStr">
        <is>
          <t>Per-activity cost + time ledger for codeless development, with per-feature estimate-vs-actual tracking and a trend chart.</t>
        </is>
      </c>
    </row>
    <row r="4">
      <c r="A4" s="18" t="inlineStr">
        <is>
          <t>Cost buckets</t>
        </is>
      </c>
      <c r="B4" s="18" t="inlineStr">
        <is>
          <t>A = LLM tokens (the only metered cost); B = local compute ($0 tokens); C = remote/network ($0 tokens).</t>
        </is>
      </c>
    </row>
    <row r="5">
      <c r="A5" s="18" t="inlineStr">
        <is>
          <t>Rate card (Opus 4.8, $/1M tok)</t>
        </is>
      </c>
      <c r="B5" s="18" t="inlineStr">
        <is>
          <t>input 5.0, output 25.0, cache-read 0.5, cache-write 6.25.</t>
        </is>
      </c>
    </row>
    <row r="6">
      <c r="A6" s="18" t="inlineStr">
        <is>
          <t>Truth &amp; estimates</t>
        </is>
      </c>
      <c r="B6" s="18" t="inlineStr">
        <is>
          <t>Token/cost for LLM rows are ESTIMATES (the model can't read its own meter). Local times are MEASURED from command output where captured. Per-feature ACTUAL cost comes from /cost (Claude Code) or the Anthropic Console - fill columns L/P in Feature Summary, then re-run.</t>
        </is>
      </c>
    </row>
    <row r="7">
      <c r="A7" s="18" t="inlineStr">
        <is>
          <t>This release</t>
        </is>
      </c>
      <c r="B7" s="18" t="inlineStr">
        <is>
          <t>23 activities (14 LLM / 9 local|remote); ~$16.74 est; ~87.53 min est (~3.83 min measured local compute).</t>
        </is>
      </c>
    </row>
    <row r="8">
      <c r="A8" s="18" t="inlineStr">
        <is>
          <t>Whole app to date (est)</t>
        </is>
      </c>
      <c r="B8" s="18" t="inlineStr">
        <is>
          <t>~7.39 prod KLOC; ~$88.34 est; ~15.9 h est. Foundation portion is a ROUGH pre-tracking estimate.</t>
        </is>
      </c>
    </row>
    <row r="9">
      <c r="A9" s="18" t="inlineStr">
        <is>
          <t>Regenerate</t>
        </is>
      </c>
      <c r="B9" s="18" t="inlineStr">
        <is>
          <t>python tools/docgen/build_deveconomics.py</t>
        </is>
      </c>
    </row>
    <row r="10">
      <c r="A10" s="18" t="inlineStr">
        <is>
          <t>Companion</t>
        </is>
      </c>
      <c r="B10" s="18" t="inlineStr">
        <is>
          <t>docs/DEVECONOMICS.md (narrative + improvement levers); docs/DEVELOPMENT_JOURNAL.md (what/why).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2026-10-28T15:50:02Z</dcterms:created>
  <dcterms:modified xmlns:dcterms="http://purl.org/dc/terms/" xmlns:xsi="http://www.w3.org/2001/XMLSchema-instance" xsi:type="dcterms:W3CDTF">2026-10-28T15:50:02Z</dcterms:modified>
</cp:coreProperties>
</file>